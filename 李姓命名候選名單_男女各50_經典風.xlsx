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我的雲端硬碟\李中立-證件、大頭照、機票、兵役出境等雜物\Claude Code\姓名學  命名\"/>
    </mc:Choice>
  </mc:AlternateContent>
  <xr:revisionPtr revIDLastSave="0" documentId="13_ncr:1_{A99BEB29-4922-4FFE-A067-8F3A495532AF}" xr6:coauthVersionLast="47" xr6:coauthVersionMax="47" xr10:uidLastSave="{00000000-0000-0000-0000-000000000000}"/>
  <bookViews>
    <workbookView xWindow="28680" yWindow="-6885" windowWidth="29040" windowHeight="15840" xr2:uid="{00000000-000D-0000-FFFF-FFFF00000000}"/>
  </bookViews>
  <sheets>
    <sheet name="男生名單" sheetId="1" r:id="rId1"/>
    <sheet name="女生名單" sheetId="2" r:id="rId2"/>
    <sheet name="規則與試算" sheetId="3" r:id="rId3"/>
  </sheets>
  <definedNames>
    <definedName name="_xlnm._FilterDatabase" localSheetId="1" hidden="1">女生名單!$A$2:$W$52</definedName>
    <definedName name="_xlnm._FilterDatabase" localSheetId="0" hidden="1">男生名單!$A$2:$W$52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3" l="1"/>
  <c r="J20" i="3"/>
  <c r="J19" i="3"/>
  <c r="J18" i="3"/>
  <c r="J17" i="3"/>
  <c r="V52" i="2"/>
  <c r="M52" i="2"/>
  <c r="L52" i="2"/>
  <c r="K52" i="2"/>
  <c r="J52" i="2"/>
  <c r="I52" i="2"/>
  <c r="V51" i="2"/>
  <c r="M51" i="2"/>
  <c r="L51" i="2"/>
  <c r="K51" i="2"/>
  <c r="J51" i="2"/>
  <c r="I51" i="2"/>
  <c r="V50" i="2"/>
  <c r="M50" i="2"/>
  <c r="L50" i="2"/>
  <c r="K50" i="2"/>
  <c r="J50" i="2"/>
  <c r="I50" i="2"/>
  <c r="V49" i="2"/>
  <c r="M49" i="2"/>
  <c r="L49" i="2"/>
  <c r="K49" i="2"/>
  <c r="J49" i="2"/>
  <c r="I49" i="2"/>
  <c r="V48" i="2"/>
  <c r="M48" i="2"/>
  <c r="L48" i="2"/>
  <c r="K48" i="2"/>
  <c r="J48" i="2"/>
  <c r="I48" i="2"/>
  <c r="V47" i="2"/>
  <c r="M47" i="2"/>
  <c r="L47" i="2"/>
  <c r="K47" i="2"/>
  <c r="J47" i="2"/>
  <c r="I47" i="2"/>
  <c r="V46" i="2"/>
  <c r="M46" i="2"/>
  <c r="L46" i="2"/>
  <c r="K46" i="2"/>
  <c r="J46" i="2"/>
  <c r="I46" i="2"/>
  <c r="V45" i="2"/>
  <c r="M45" i="2"/>
  <c r="L45" i="2"/>
  <c r="K45" i="2"/>
  <c r="J45" i="2"/>
  <c r="I45" i="2"/>
  <c r="V44" i="2"/>
  <c r="M44" i="2"/>
  <c r="L44" i="2"/>
  <c r="K44" i="2"/>
  <c r="J44" i="2"/>
  <c r="I44" i="2"/>
  <c r="V43" i="2"/>
  <c r="M43" i="2"/>
  <c r="L43" i="2"/>
  <c r="K43" i="2"/>
  <c r="J43" i="2"/>
  <c r="I43" i="2"/>
  <c r="V42" i="2"/>
  <c r="M42" i="2"/>
  <c r="L42" i="2"/>
  <c r="K42" i="2"/>
  <c r="J42" i="2"/>
  <c r="I42" i="2"/>
  <c r="V41" i="2"/>
  <c r="M41" i="2"/>
  <c r="L41" i="2"/>
  <c r="K41" i="2"/>
  <c r="J41" i="2"/>
  <c r="I41" i="2"/>
  <c r="V40" i="2"/>
  <c r="M40" i="2"/>
  <c r="L40" i="2"/>
  <c r="K40" i="2"/>
  <c r="J40" i="2"/>
  <c r="I40" i="2"/>
  <c r="V39" i="2"/>
  <c r="M39" i="2"/>
  <c r="L39" i="2"/>
  <c r="K39" i="2"/>
  <c r="J39" i="2"/>
  <c r="I39" i="2"/>
  <c r="V38" i="2"/>
  <c r="M38" i="2"/>
  <c r="L38" i="2"/>
  <c r="K38" i="2"/>
  <c r="J38" i="2"/>
  <c r="I38" i="2"/>
  <c r="V37" i="2"/>
  <c r="M37" i="2"/>
  <c r="L37" i="2"/>
  <c r="K37" i="2"/>
  <c r="J37" i="2"/>
  <c r="I37" i="2"/>
  <c r="V36" i="2"/>
  <c r="M36" i="2"/>
  <c r="L36" i="2"/>
  <c r="K36" i="2"/>
  <c r="J36" i="2"/>
  <c r="I36" i="2"/>
  <c r="V35" i="2"/>
  <c r="M35" i="2"/>
  <c r="L35" i="2"/>
  <c r="K35" i="2"/>
  <c r="J35" i="2"/>
  <c r="I35" i="2"/>
  <c r="V34" i="2"/>
  <c r="M34" i="2"/>
  <c r="L34" i="2"/>
  <c r="K34" i="2"/>
  <c r="J34" i="2"/>
  <c r="I34" i="2"/>
  <c r="V33" i="2"/>
  <c r="M33" i="2"/>
  <c r="L33" i="2"/>
  <c r="K33" i="2"/>
  <c r="J33" i="2"/>
  <c r="I33" i="2"/>
  <c r="V32" i="2"/>
  <c r="M32" i="2"/>
  <c r="L32" i="2"/>
  <c r="K32" i="2"/>
  <c r="J32" i="2"/>
  <c r="I32" i="2"/>
  <c r="V31" i="2"/>
  <c r="M31" i="2"/>
  <c r="L31" i="2"/>
  <c r="K31" i="2"/>
  <c r="J31" i="2"/>
  <c r="I31" i="2"/>
  <c r="V30" i="2"/>
  <c r="M30" i="2"/>
  <c r="L30" i="2"/>
  <c r="K30" i="2"/>
  <c r="J30" i="2"/>
  <c r="I30" i="2"/>
  <c r="V29" i="2"/>
  <c r="M29" i="2"/>
  <c r="L29" i="2"/>
  <c r="K29" i="2"/>
  <c r="J29" i="2"/>
  <c r="I29" i="2"/>
  <c r="V28" i="2"/>
  <c r="M28" i="2"/>
  <c r="L28" i="2"/>
  <c r="K28" i="2"/>
  <c r="J28" i="2"/>
  <c r="I28" i="2"/>
  <c r="V27" i="2"/>
  <c r="M27" i="2"/>
  <c r="L27" i="2"/>
  <c r="K27" i="2"/>
  <c r="J27" i="2"/>
  <c r="I27" i="2"/>
  <c r="V26" i="2"/>
  <c r="M26" i="2"/>
  <c r="L26" i="2"/>
  <c r="K26" i="2"/>
  <c r="J26" i="2"/>
  <c r="I26" i="2"/>
  <c r="V25" i="2"/>
  <c r="M25" i="2"/>
  <c r="L25" i="2"/>
  <c r="K25" i="2"/>
  <c r="J25" i="2"/>
  <c r="I25" i="2"/>
  <c r="V24" i="2"/>
  <c r="M24" i="2"/>
  <c r="L24" i="2"/>
  <c r="K24" i="2"/>
  <c r="J24" i="2"/>
  <c r="I24" i="2"/>
  <c r="V23" i="2"/>
  <c r="M23" i="2"/>
  <c r="L23" i="2"/>
  <c r="K23" i="2"/>
  <c r="J23" i="2"/>
  <c r="I23" i="2"/>
  <c r="V22" i="2"/>
  <c r="M22" i="2"/>
  <c r="L22" i="2"/>
  <c r="K22" i="2"/>
  <c r="J22" i="2"/>
  <c r="I22" i="2"/>
  <c r="V21" i="2"/>
  <c r="M21" i="2"/>
  <c r="L21" i="2"/>
  <c r="K21" i="2"/>
  <c r="J21" i="2"/>
  <c r="I21" i="2"/>
  <c r="V20" i="2"/>
  <c r="M20" i="2"/>
  <c r="L20" i="2"/>
  <c r="K20" i="2"/>
  <c r="J20" i="2"/>
  <c r="I20" i="2"/>
  <c r="O20" i="2" s="1"/>
  <c r="V19" i="2"/>
  <c r="M19" i="2"/>
  <c r="L19" i="2"/>
  <c r="K19" i="2"/>
  <c r="J19" i="2"/>
  <c r="I19" i="2"/>
  <c r="V18" i="2"/>
  <c r="M18" i="2"/>
  <c r="L18" i="2"/>
  <c r="K18" i="2"/>
  <c r="J18" i="2"/>
  <c r="I18" i="2"/>
  <c r="V17" i="2"/>
  <c r="M17" i="2"/>
  <c r="L17" i="2"/>
  <c r="K17" i="2"/>
  <c r="J17" i="2"/>
  <c r="I17" i="2"/>
  <c r="V16" i="2"/>
  <c r="M16" i="2"/>
  <c r="L16" i="2"/>
  <c r="K16" i="2"/>
  <c r="J16" i="2"/>
  <c r="I16" i="2"/>
  <c r="V15" i="2"/>
  <c r="M15" i="2"/>
  <c r="L15" i="2"/>
  <c r="K15" i="2"/>
  <c r="J15" i="2"/>
  <c r="I15" i="2"/>
  <c r="V14" i="2"/>
  <c r="M14" i="2"/>
  <c r="L14" i="2"/>
  <c r="K14" i="2"/>
  <c r="J14" i="2"/>
  <c r="I14" i="2"/>
  <c r="V13" i="2"/>
  <c r="M13" i="2"/>
  <c r="L13" i="2"/>
  <c r="K13" i="2"/>
  <c r="J13" i="2"/>
  <c r="I13" i="2"/>
  <c r="V12" i="2"/>
  <c r="M12" i="2"/>
  <c r="L12" i="2"/>
  <c r="K12" i="2"/>
  <c r="J12" i="2"/>
  <c r="I12" i="2"/>
  <c r="V11" i="2"/>
  <c r="M11" i="2"/>
  <c r="L11" i="2"/>
  <c r="K11" i="2"/>
  <c r="J11" i="2"/>
  <c r="I11" i="2"/>
  <c r="V10" i="2"/>
  <c r="M10" i="2"/>
  <c r="L10" i="2"/>
  <c r="K10" i="2"/>
  <c r="J10" i="2"/>
  <c r="I10" i="2"/>
  <c r="V9" i="2"/>
  <c r="M9" i="2"/>
  <c r="L9" i="2"/>
  <c r="K9" i="2"/>
  <c r="J9" i="2"/>
  <c r="I9" i="2"/>
  <c r="V8" i="2"/>
  <c r="M8" i="2"/>
  <c r="L8" i="2"/>
  <c r="K8" i="2"/>
  <c r="J8" i="2"/>
  <c r="I8" i="2"/>
  <c r="V7" i="2"/>
  <c r="M7" i="2"/>
  <c r="L7" i="2"/>
  <c r="K7" i="2"/>
  <c r="J7" i="2"/>
  <c r="I7" i="2"/>
  <c r="V6" i="2"/>
  <c r="M6" i="2"/>
  <c r="L6" i="2"/>
  <c r="K6" i="2"/>
  <c r="J6" i="2"/>
  <c r="I6" i="2"/>
  <c r="V5" i="2"/>
  <c r="M5" i="2"/>
  <c r="L5" i="2"/>
  <c r="K5" i="2"/>
  <c r="J5" i="2"/>
  <c r="I5" i="2"/>
  <c r="V4" i="2"/>
  <c r="M4" i="2"/>
  <c r="L4" i="2"/>
  <c r="K4" i="2"/>
  <c r="J4" i="2"/>
  <c r="I4" i="2"/>
  <c r="V3" i="2"/>
  <c r="M3" i="2"/>
  <c r="L3" i="2"/>
  <c r="K3" i="2"/>
  <c r="J3" i="2"/>
  <c r="I3" i="2"/>
  <c r="V52" i="1"/>
  <c r="M52" i="1"/>
  <c r="L52" i="1"/>
  <c r="K52" i="1"/>
  <c r="J52" i="1"/>
  <c r="I52" i="1"/>
  <c r="V51" i="1"/>
  <c r="M51" i="1"/>
  <c r="L51" i="1"/>
  <c r="K51" i="1"/>
  <c r="J51" i="1"/>
  <c r="I51" i="1"/>
  <c r="V50" i="1"/>
  <c r="M50" i="1"/>
  <c r="L50" i="1"/>
  <c r="K50" i="1"/>
  <c r="J50" i="1"/>
  <c r="I50" i="1"/>
  <c r="V49" i="1"/>
  <c r="M49" i="1"/>
  <c r="L49" i="1"/>
  <c r="K49" i="1"/>
  <c r="J49" i="1"/>
  <c r="I49" i="1"/>
  <c r="V48" i="1"/>
  <c r="M48" i="1"/>
  <c r="L48" i="1"/>
  <c r="K48" i="1"/>
  <c r="J48" i="1"/>
  <c r="I48" i="1"/>
  <c r="V47" i="1"/>
  <c r="M47" i="1"/>
  <c r="L47" i="1"/>
  <c r="K47" i="1"/>
  <c r="J47" i="1"/>
  <c r="I47" i="1"/>
  <c r="V46" i="1"/>
  <c r="M46" i="1"/>
  <c r="L46" i="1"/>
  <c r="K46" i="1"/>
  <c r="J46" i="1"/>
  <c r="I46" i="1"/>
  <c r="V45" i="1"/>
  <c r="M45" i="1"/>
  <c r="L45" i="1"/>
  <c r="K45" i="1"/>
  <c r="J45" i="1"/>
  <c r="I45" i="1"/>
  <c r="V44" i="1"/>
  <c r="M44" i="1"/>
  <c r="L44" i="1"/>
  <c r="K44" i="1"/>
  <c r="J44" i="1"/>
  <c r="I44" i="1"/>
  <c r="V43" i="1"/>
  <c r="M43" i="1"/>
  <c r="L43" i="1"/>
  <c r="K43" i="1"/>
  <c r="J43" i="1"/>
  <c r="I43" i="1"/>
  <c r="V42" i="1"/>
  <c r="M42" i="1"/>
  <c r="L42" i="1"/>
  <c r="K42" i="1"/>
  <c r="J42" i="1"/>
  <c r="I42" i="1"/>
  <c r="V41" i="1"/>
  <c r="M41" i="1"/>
  <c r="L41" i="1"/>
  <c r="K41" i="1"/>
  <c r="J41" i="1"/>
  <c r="I41" i="1"/>
  <c r="V40" i="1"/>
  <c r="M40" i="1"/>
  <c r="L40" i="1"/>
  <c r="K40" i="1"/>
  <c r="J40" i="1"/>
  <c r="I40" i="1"/>
  <c r="V39" i="1"/>
  <c r="M39" i="1"/>
  <c r="L39" i="1"/>
  <c r="K39" i="1"/>
  <c r="J39" i="1"/>
  <c r="I39" i="1"/>
  <c r="V38" i="1"/>
  <c r="M38" i="1"/>
  <c r="L38" i="1"/>
  <c r="K38" i="1"/>
  <c r="J38" i="1"/>
  <c r="I38" i="1"/>
  <c r="V37" i="1"/>
  <c r="M37" i="1"/>
  <c r="L37" i="1"/>
  <c r="K37" i="1"/>
  <c r="J37" i="1"/>
  <c r="I37" i="1"/>
  <c r="V36" i="1"/>
  <c r="M36" i="1"/>
  <c r="L36" i="1"/>
  <c r="K36" i="1"/>
  <c r="J36" i="1"/>
  <c r="I36" i="1"/>
  <c r="V35" i="1"/>
  <c r="M35" i="1"/>
  <c r="L35" i="1"/>
  <c r="K35" i="1"/>
  <c r="J35" i="1"/>
  <c r="I35" i="1"/>
  <c r="V34" i="1"/>
  <c r="M34" i="1"/>
  <c r="L34" i="1"/>
  <c r="K34" i="1"/>
  <c r="J34" i="1"/>
  <c r="I34" i="1"/>
  <c r="V33" i="1"/>
  <c r="M33" i="1"/>
  <c r="L33" i="1"/>
  <c r="K33" i="1"/>
  <c r="J33" i="1"/>
  <c r="I33" i="1"/>
  <c r="V32" i="1"/>
  <c r="M32" i="1"/>
  <c r="L32" i="1"/>
  <c r="K32" i="1"/>
  <c r="J32" i="1"/>
  <c r="I32" i="1"/>
  <c r="V31" i="1"/>
  <c r="M31" i="1"/>
  <c r="L31" i="1"/>
  <c r="K31" i="1"/>
  <c r="J31" i="1"/>
  <c r="I31" i="1"/>
  <c r="V30" i="1"/>
  <c r="M30" i="1"/>
  <c r="L30" i="1"/>
  <c r="K30" i="1"/>
  <c r="J30" i="1"/>
  <c r="I30" i="1"/>
  <c r="V29" i="1"/>
  <c r="M29" i="1"/>
  <c r="L29" i="1"/>
  <c r="K29" i="1"/>
  <c r="J29" i="1"/>
  <c r="I29" i="1"/>
  <c r="V28" i="1"/>
  <c r="O28" i="1"/>
  <c r="M28" i="1"/>
  <c r="L28" i="1"/>
  <c r="N28" i="1" s="1"/>
  <c r="K28" i="1"/>
  <c r="J28" i="1"/>
  <c r="I28" i="1"/>
  <c r="V27" i="1"/>
  <c r="M27" i="1"/>
  <c r="L27" i="1"/>
  <c r="K27" i="1"/>
  <c r="J27" i="1"/>
  <c r="I27" i="1"/>
  <c r="V26" i="1"/>
  <c r="M26" i="1"/>
  <c r="L26" i="1"/>
  <c r="K26" i="1"/>
  <c r="J26" i="1"/>
  <c r="I26" i="1"/>
  <c r="V25" i="1"/>
  <c r="M25" i="1"/>
  <c r="L25" i="1"/>
  <c r="K25" i="1"/>
  <c r="J25" i="1"/>
  <c r="I25" i="1"/>
  <c r="V24" i="1"/>
  <c r="M24" i="1"/>
  <c r="L24" i="1"/>
  <c r="K24" i="1"/>
  <c r="J24" i="1"/>
  <c r="I24" i="1"/>
  <c r="V23" i="1"/>
  <c r="M23" i="1"/>
  <c r="L23" i="1"/>
  <c r="K23" i="1"/>
  <c r="J23" i="1"/>
  <c r="I23" i="1"/>
  <c r="V22" i="1"/>
  <c r="M22" i="1"/>
  <c r="L22" i="1"/>
  <c r="K22" i="1"/>
  <c r="J22" i="1"/>
  <c r="I22" i="1"/>
  <c r="V21" i="1"/>
  <c r="M21" i="1"/>
  <c r="L21" i="1"/>
  <c r="K21" i="1"/>
  <c r="J21" i="1"/>
  <c r="I21" i="1"/>
  <c r="V20" i="1"/>
  <c r="M20" i="1"/>
  <c r="L20" i="1"/>
  <c r="K20" i="1"/>
  <c r="J20" i="1"/>
  <c r="I20" i="1"/>
  <c r="V19" i="1"/>
  <c r="M19" i="1"/>
  <c r="L19" i="1"/>
  <c r="K19" i="1"/>
  <c r="J19" i="1"/>
  <c r="I19" i="1"/>
  <c r="V18" i="1"/>
  <c r="M18" i="1"/>
  <c r="L18" i="1"/>
  <c r="K18" i="1"/>
  <c r="J18" i="1"/>
  <c r="I18" i="1"/>
  <c r="V17" i="1"/>
  <c r="M17" i="1"/>
  <c r="L17" i="1"/>
  <c r="K17" i="1"/>
  <c r="J17" i="1"/>
  <c r="I17" i="1"/>
  <c r="V16" i="1"/>
  <c r="M16" i="1"/>
  <c r="L16" i="1"/>
  <c r="K16" i="1"/>
  <c r="J16" i="1"/>
  <c r="I16" i="1"/>
  <c r="V15" i="1"/>
  <c r="M15" i="1"/>
  <c r="L15" i="1"/>
  <c r="K15" i="1"/>
  <c r="J15" i="1"/>
  <c r="I15" i="1"/>
  <c r="V14" i="1"/>
  <c r="M14" i="1"/>
  <c r="L14" i="1"/>
  <c r="K14" i="1"/>
  <c r="J14" i="1"/>
  <c r="I14" i="1"/>
  <c r="V13" i="1"/>
  <c r="M13" i="1"/>
  <c r="L13" i="1"/>
  <c r="K13" i="1"/>
  <c r="J13" i="1"/>
  <c r="I13" i="1"/>
  <c r="V12" i="1"/>
  <c r="M12" i="1"/>
  <c r="L12" i="1"/>
  <c r="K12" i="1"/>
  <c r="J12" i="1"/>
  <c r="I12" i="1"/>
  <c r="V11" i="1"/>
  <c r="M11" i="1"/>
  <c r="L11" i="1"/>
  <c r="K11" i="1"/>
  <c r="J11" i="1"/>
  <c r="I11" i="1"/>
  <c r="V10" i="1"/>
  <c r="M10" i="1"/>
  <c r="L10" i="1"/>
  <c r="K10" i="1"/>
  <c r="J10" i="1"/>
  <c r="I10" i="1"/>
  <c r="V9" i="1"/>
  <c r="M9" i="1"/>
  <c r="L9" i="1"/>
  <c r="K9" i="1"/>
  <c r="J9" i="1"/>
  <c r="I9" i="1"/>
  <c r="V8" i="1"/>
  <c r="M8" i="1"/>
  <c r="L8" i="1"/>
  <c r="K8" i="1"/>
  <c r="J8" i="1"/>
  <c r="I8" i="1"/>
  <c r="V7" i="1"/>
  <c r="M7" i="1"/>
  <c r="L7" i="1"/>
  <c r="K7" i="1"/>
  <c r="J7" i="1"/>
  <c r="I7" i="1"/>
  <c r="V6" i="1"/>
  <c r="M6" i="1"/>
  <c r="L6" i="1"/>
  <c r="K6" i="1"/>
  <c r="J6" i="1"/>
  <c r="I6" i="1"/>
  <c r="V5" i="1"/>
  <c r="M5" i="1"/>
  <c r="L5" i="1"/>
  <c r="K5" i="1"/>
  <c r="J5" i="1"/>
  <c r="I5" i="1"/>
  <c r="V4" i="1"/>
  <c r="M4" i="1"/>
  <c r="L4" i="1"/>
  <c r="K4" i="1"/>
  <c r="J4" i="1"/>
  <c r="I4" i="1"/>
  <c r="V3" i="1"/>
  <c r="M3" i="1"/>
  <c r="L3" i="1"/>
  <c r="K3" i="1"/>
  <c r="J3" i="1"/>
  <c r="I3" i="1"/>
  <c r="N20" i="2" l="1"/>
  <c r="N45" i="2"/>
  <c r="O45" i="2"/>
  <c r="O3" i="2"/>
  <c r="N3" i="2"/>
  <c r="N11" i="1"/>
  <c r="O11" i="1"/>
  <c r="J23" i="3"/>
  <c r="J22" i="3"/>
  <c r="O52" i="2"/>
  <c r="N52" i="2"/>
  <c r="O51" i="2"/>
  <c r="N51" i="2"/>
  <c r="O50" i="2"/>
  <c r="N50" i="2"/>
  <c r="O49" i="2"/>
  <c r="N49" i="2"/>
  <c r="O48" i="2"/>
  <c r="N48" i="2"/>
  <c r="O47" i="2"/>
  <c r="N47" i="2"/>
  <c r="O46" i="2"/>
  <c r="N46" i="2"/>
  <c r="P45" i="2"/>
  <c r="Q45" i="2"/>
  <c r="O44" i="2"/>
  <c r="N44" i="2"/>
  <c r="O43" i="2"/>
  <c r="N43" i="2"/>
  <c r="O42" i="2"/>
  <c r="N42" i="2"/>
  <c r="N41" i="2"/>
  <c r="O41" i="2"/>
  <c r="N40" i="2"/>
  <c r="O40" i="2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Q20" i="2"/>
  <c r="P20" i="2"/>
  <c r="R20" i="2" s="1"/>
  <c r="O19" i="2"/>
  <c r="N19" i="2"/>
  <c r="N18" i="2"/>
  <c r="O18" i="2"/>
  <c r="O17" i="2"/>
  <c r="N17" i="2"/>
  <c r="O16" i="2"/>
  <c r="N16" i="2"/>
  <c r="N15" i="2"/>
  <c r="O15" i="2"/>
  <c r="O14" i="2"/>
  <c r="N14" i="2"/>
  <c r="O13" i="2"/>
  <c r="N13" i="2"/>
  <c r="O12" i="2"/>
  <c r="N12" i="2"/>
  <c r="O11" i="2"/>
  <c r="N11" i="2"/>
  <c r="O10" i="2"/>
  <c r="N10" i="2"/>
  <c r="N9" i="2"/>
  <c r="O9" i="2"/>
  <c r="O8" i="2"/>
  <c r="N8" i="2"/>
  <c r="O7" i="2"/>
  <c r="N7" i="2"/>
  <c r="N6" i="2"/>
  <c r="O6" i="2"/>
  <c r="O5" i="2"/>
  <c r="N5" i="2"/>
  <c r="O4" i="2"/>
  <c r="N4" i="2"/>
  <c r="P3" i="2"/>
  <c r="Q3" i="2"/>
  <c r="N52" i="1"/>
  <c r="O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N42" i="1"/>
  <c r="O42" i="1"/>
  <c r="N41" i="1"/>
  <c r="O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Q28" i="1"/>
  <c r="P28" i="1"/>
  <c r="R28" i="1" s="1"/>
  <c r="N27" i="1"/>
  <c r="O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N17" i="1"/>
  <c r="O17" i="1"/>
  <c r="N16" i="1"/>
  <c r="O16" i="1"/>
  <c r="O15" i="1"/>
  <c r="N15" i="1"/>
  <c r="N14" i="1"/>
  <c r="O14" i="1"/>
  <c r="O13" i="1"/>
  <c r="N13" i="1"/>
  <c r="O12" i="1"/>
  <c r="N12" i="1"/>
  <c r="O10" i="1"/>
  <c r="N10" i="1"/>
  <c r="O9" i="1"/>
  <c r="N9" i="1"/>
  <c r="N8" i="1"/>
  <c r="O8" i="1"/>
  <c r="O7" i="1"/>
  <c r="N7" i="1"/>
  <c r="O6" i="1"/>
  <c r="N6" i="1"/>
  <c r="O5" i="1"/>
  <c r="N5" i="1"/>
  <c r="O4" i="1"/>
  <c r="N4" i="1"/>
  <c r="O3" i="1"/>
  <c r="N3" i="1"/>
  <c r="R45" i="2" l="1"/>
  <c r="R3" i="2"/>
  <c r="Q11" i="1"/>
  <c r="P11" i="1"/>
  <c r="J24" i="3"/>
  <c r="J25" i="3"/>
  <c r="P52" i="2"/>
  <c r="Q52" i="2"/>
  <c r="P51" i="2"/>
  <c r="Q51" i="2"/>
  <c r="P50" i="2"/>
  <c r="Q50" i="2"/>
  <c r="P49" i="2"/>
  <c r="Q49" i="2"/>
  <c r="P48" i="2"/>
  <c r="Q48" i="2"/>
  <c r="P47" i="2"/>
  <c r="Q47" i="2"/>
  <c r="P46" i="2"/>
  <c r="Q46" i="2"/>
  <c r="P44" i="2"/>
  <c r="Q44" i="2"/>
  <c r="P43" i="2"/>
  <c r="Q43" i="2"/>
  <c r="P42" i="2"/>
  <c r="Q42" i="2"/>
  <c r="P41" i="2"/>
  <c r="Q41" i="2"/>
  <c r="P40" i="2"/>
  <c r="Q40" i="2"/>
  <c r="P39" i="2"/>
  <c r="Q39" i="2"/>
  <c r="P38" i="2"/>
  <c r="Q38" i="2"/>
  <c r="P37" i="2"/>
  <c r="Q37" i="2"/>
  <c r="P36" i="2"/>
  <c r="Q36" i="2"/>
  <c r="P35" i="2"/>
  <c r="Q35" i="2"/>
  <c r="P34" i="2"/>
  <c r="Q34" i="2"/>
  <c r="P33" i="2"/>
  <c r="Q33" i="2"/>
  <c r="P32" i="2"/>
  <c r="Q32" i="2"/>
  <c r="P31" i="2"/>
  <c r="Q31" i="2"/>
  <c r="P30" i="2"/>
  <c r="Q30" i="2"/>
  <c r="P29" i="2"/>
  <c r="Q29" i="2"/>
  <c r="P28" i="2"/>
  <c r="Q28" i="2"/>
  <c r="P27" i="2"/>
  <c r="Q27" i="2"/>
  <c r="P26" i="2"/>
  <c r="Q26" i="2"/>
  <c r="P25" i="2"/>
  <c r="Q25" i="2"/>
  <c r="P24" i="2"/>
  <c r="Q24" i="2"/>
  <c r="P23" i="2"/>
  <c r="Q23" i="2"/>
  <c r="P22" i="2"/>
  <c r="Q22" i="2"/>
  <c r="P21" i="2"/>
  <c r="Q21" i="2"/>
  <c r="P19" i="2"/>
  <c r="Q19" i="2"/>
  <c r="P18" i="2"/>
  <c r="Q18" i="2"/>
  <c r="P17" i="2"/>
  <c r="Q17" i="2"/>
  <c r="P16" i="2"/>
  <c r="Q16" i="2"/>
  <c r="P15" i="2"/>
  <c r="Q15" i="2"/>
  <c r="P14" i="2"/>
  <c r="Q14" i="2"/>
  <c r="P13" i="2"/>
  <c r="Q13" i="2"/>
  <c r="P12" i="2"/>
  <c r="Q12" i="2"/>
  <c r="P11" i="2"/>
  <c r="Q11" i="2"/>
  <c r="P10" i="2"/>
  <c r="Q10" i="2"/>
  <c r="P9" i="2"/>
  <c r="Q9" i="2"/>
  <c r="P8" i="2"/>
  <c r="Q8" i="2"/>
  <c r="P7" i="2"/>
  <c r="Q7" i="2"/>
  <c r="P6" i="2"/>
  <c r="Q6" i="2"/>
  <c r="P5" i="2"/>
  <c r="Q5" i="2"/>
  <c r="P4" i="2"/>
  <c r="R4" i="2" s="1"/>
  <c r="Q4" i="2"/>
  <c r="P52" i="1"/>
  <c r="Q52" i="1"/>
  <c r="P51" i="1"/>
  <c r="Q51" i="1"/>
  <c r="P50" i="1"/>
  <c r="Q50" i="1"/>
  <c r="P49" i="1"/>
  <c r="Q49" i="1"/>
  <c r="P48" i="1"/>
  <c r="Q48" i="1"/>
  <c r="P47" i="1"/>
  <c r="Q47" i="1"/>
  <c r="P46" i="1"/>
  <c r="Q46" i="1"/>
  <c r="P45" i="1"/>
  <c r="Q45" i="1"/>
  <c r="P44" i="1"/>
  <c r="Q44" i="1"/>
  <c r="P43" i="1"/>
  <c r="Q43" i="1"/>
  <c r="P42" i="1"/>
  <c r="Q42" i="1"/>
  <c r="P41" i="1"/>
  <c r="Q41" i="1"/>
  <c r="P40" i="1"/>
  <c r="Q40" i="1"/>
  <c r="P39" i="1"/>
  <c r="Q39" i="1"/>
  <c r="P38" i="1"/>
  <c r="Q38" i="1"/>
  <c r="P37" i="1"/>
  <c r="Q37" i="1"/>
  <c r="Q36" i="1"/>
  <c r="P36" i="1"/>
  <c r="R36" i="1" s="1"/>
  <c r="P35" i="1"/>
  <c r="Q35" i="1"/>
  <c r="P34" i="1"/>
  <c r="Q34" i="1"/>
  <c r="P33" i="1"/>
  <c r="Q33" i="1"/>
  <c r="P32" i="1"/>
  <c r="Q32" i="1"/>
  <c r="P31" i="1"/>
  <c r="Q31" i="1"/>
  <c r="P30" i="1"/>
  <c r="Q30" i="1"/>
  <c r="P29" i="1"/>
  <c r="Q29" i="1"/>
  <c r="P27" i="1"/>
  <c r="Q27" i="1"/>
  <c r="P26" i="1"/>
  <c r="Q26" i="1"/>
  <c r="P25" i="1"/>
  <c r="Q25" i="1"/>
  <c r="P24" i="1"/>
  <c r="Q24" i="1"/>
  <c r="P23" i="1"/>
  <c r="Q23" i="1"/>
  <c r="P22" i="1"/>
  <c r="Q22" i="1"/>
  <c r="P21" i="1"/>
  <c r="Q21" i="1"/>
  <c r="P20" i="1"/>
  <c r="Q20" i="1"/>
  <c r="P19" i="1"/>
  <c r="Q19" i="1"/>
  <c r="P18" i="1"/>
  <c r="Q18" i="1"/>
  <c r="P17" i="1"/>
  <c r="Q17" i="1"/>
  <c r="P16" i="1"/>
  <c r="Q16" i="1"/>
  <c r="P15" i="1"/>
  <c r="Q15" i="1"/>
  <c r="P14" i="1"/>
  <c r="Q14" i="1"/>
  <c r="P13" i="1"/>
  <c r="Q13" i="1"/>
  <c r="P12" i="1"/>
  <c r="Q12" i="1"/>
  <c r="P10" i="1"/>
  <c r="Q10" i="1"/>
  <c r="P9" i="1"/>
  <c r="Q9" i="1"/>
  <c r="P8" i="1"/>
  <c r="Q8" i="1"/>
  <c r="P7" i="1"/>
  <c r="Q7" i="1"/>
  <c r="P6" i="1"/>
  <c r="Q6" i="1"/>
  <c r="P5" i="1"/>
  <c r="Q5" i="1"/>
  <c r="P4" i="1"/>
  <c r="Q4" i="1"/>
  <c r="P3" i="1"/>
  <c r="Q3" i="1"/>
  <c r="R11" i="1"/>
  <c r="J26" i="3" l="1"/>
  <c r="R52" i="2"/>
  <c r="R51" i="2"/>
  <c r="R50" i="2"/>
  <c r="R49" i="2"/>
  <c r="R48" i="2"/>
  <c r="R37" i="2"/>
  <c r="R44" i="2"/>
  <c r="R43" i="2"/>
  <c r="R42" i="2"/>
  <c r="R41" i="2"/>
  <c r="R40" i="2"/>
  <c r="R39" i="2"/>
  <c r="R38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5" i="1"/>
  <c r="R34" i="1"/>
  <c r="R33" i="1"/>
  <c r="R32" i="1"/>
  <c r="R31" i="1"/>
  <c r="R30" i="1"/>
  <c r="R29" i="1"/>
  <c r="R27" i="1"/>
  <c r="R26" i="1"/>
  <c r="R25" i="1"/>
  <c r="R24" i="1"/>
  <c r="R23" i="1"/>
  <c r="R22" i="1"/>
  <c r="R21" i="1"/>
  <c r="R20" i="1"/>
  <c r="R46" i="2"/>
  <c r="R19" i="1"/>
  <c r="R18" i="1"/>
  <c r="R17" i="1"/>
  <c r="R16" i="1"/>
  <c r="R15" i="1"/>
  <c r="R14" i="1"/>
  <c r="R13" i="1"/>
  <c r="R12" i="1"/>
  <c r="R47" i="2"/>
  <c r="R10" i="1"/>
  <c r="R9" i="1"/>
  <c r="R8" i="1"/>
  <c r="R7" i="1"/>
  <c r="R6" i="1"/>
  <c r="R5" i="1"/>
  <c r="R4" i="1"/>
  <c r="R3" i="1"/>
</calcChain>
</file>

<file path=xl/sharedStrings.xml><?xml version="1.0" encoding="utf-8"?>
<sst xmlns="http://schemas.openxmlformats.org/spreadsheetml/2006/main" count="943" uniqueCount="383">
  <si>
    <t>男生名單</t>
  </si>
  <si>
    <t>序號</t>
  </si>
  <si>
    <t>姓名</t>
  </si>
  <si>
    <t>姓</t>
  </si>
  <si>
    <t>名1</t>
  </si>
  <si>
    <t>名2</t>
  </si>
  <si>
    <t>姓劃</t>
  </si>
  <si>
    <t>名1劃</t>
  </si>
  <si>
    <t>名2劃</t>
  </si>
  <si>
    <t>天格</t>
  </si>
  <si>
    <t>人格</t>
  </si>
  <si>
    <t>地格</t>
  </si>
  <si>
    <t>外格</t>
  </si>
  <si>
    <t>總格</t>
  </si>
  <si>
    <t>五格判定</t>
  </si>
  <si>
    <t>三才配置</t>
  </si>
  <si>
    <t>天人關係</t>
  </si>
  <si>
    <t>人地關係</t>
  </si>
  <si>
    <t>三才吉凶</t>
  </si>
  <si>
    <t>姓部首五行</t>
  </si>
  <si>
    <t>名1部首五行</t>
  </si>
  <si>
    <t>名2部首五行</t>
  </si>
  <si>
    <t>名字補五行</t>
  </si>
  <si>
    <t>字義寓意</t>
  </si>
  <si>
    <t>李秉哲</t>
  </si>
  <si>
    <t>李</t>
  </si>
  <si>
    <t>秉</t>
  </si>
  <si>
    <t>哲</t>
  </si>
  <si>
    <t>木</t>
  </si>
  <si>
    <t>火</t>
  </si>
  <si>
    <t>秉持正道，睿智明理</t>
  </si>
  <si>
    <t>李承恩</t>
  </si>
  <si>
    <t>承</t>
  </si>
  <si>
    <t>恩</t>
  </si>
  <si>
    <t>金</t>
  </si>
  <si>
    <t>承接厚德，感懷恩澤</t>
  </si>
  <si>
    <t>李昊軒</t>
  </si>
  <si>
    <t>昊</t>
  </si>
  <si>
    <t>軒</t>
  </si>
  <si>
    <t>土</t>
  </si>
  <si>
    <t>天地遼闊，氣宇軒昂</t>
  </si>
  <si>
    <t>李明軒</t>
  </si>
  <si>
    <t>明</t>
  </si>
  <si>
    <t>光明磊落，器宇不凡</t>
  </si>
  <si>
    <t>李東原</t>
  </si>
  <si>
    <t>東</t>
  </si>
  <si>
    <t>原</t>
  </si>
  <si>
    <t>東方初曦，本原厚實</t>
  </si>
  <si>
    <t>李宗翰</t>
  </si>
  <si>
    <t>宗</t>
  </si>
  <si>
    <t>翰</t>
  </si>
  <si>
    <t>水</t>
  </si>
  <si>
    <t>宗族棟樑，文翰出眾</t>
  </si>
  <si>
    <t>李承勳</t>
  </si>
  <si>
    <t>勳</t>
  </si>
  <si>
    <t>承先啟後，功勳卓著</t>
  </si>
  <si>
    <t>李東霖</t>
  </si>
  <si>
    <t>霖</t>
  </si>
  <si>
    <t>東風化雨，甘霖潤物</t>
  </si>
  <si>
    <t>李承澤</t>
  </si>
  <si>
    <t>澤</t>
  </si>
  <si>
    <t>承載恩澤，潤澤四方</t>
  </si>
  <si>
    <t>李秉謙</t>
  </si>
  <si>
    <t>謙</t>
  </si>
  <si>
    <t>秉性正直，謙沖自牧</t>
  </si>
  <si>
    <t>李昊駿</t>
  </si>
  <si>
    <t>駿</t>
  </si>
  <si>
    <t>胸襟廣闊，駿馬奔騰</t>
  </si>
  <si>
    <t>李冠廷</t>
  </si>
  <si>
    <t>冠</t>
  </si>
  <si>
    <t>廷</t>
  </si>
  <si>
    <t>才冠群倫，立身端正</t>
  </si>
  <si>
    <t>李彥廷</t>
  </si>
  <si>
    <t>彥</t>
  </si>
  <si>
    <t>彥士俊才，持重穩健</t>
  </si>
  <si>
    <t>李柏均</t>
  </si>
  <si>
    <t>柏</t>
  </si>
  <si>
    <t>均</t>
  </si>
  <si>
    <t>松柏堅貞，處事均衡</t>
  </si>
  <si>
    <t>李奕辰</t>
  </si>
  <si>
    <t>奕</t>
  </si>
  <si>
    <t>辰</t>
  </si>
  <si>
    <t>神采奕奕，星辰高遠</t>
  </si>
  <si>
    <t>李宥廷</t>
  </si>
  <si>
    <t>宥</t>
  </si>
  <si>
    <t>寬宥待人，正直立身</t>
  </si>
  <si>
    <t>李柏毅</t>
  </si>
  <si>
    <t>毅</t>
  </si>
  <si>
    <t>柏節堅忍，剛毅果決</t>
  </si>
  <si>
    <t>李昱賢</t>
  </si>
  <si>
    <t>昱</t>
  </si>
  <si>
    <t>賢</t>
  </si>
  <si>
    <t>日光昭昱，賢德兼備</t>
  </si>
  <si>
    <t>李建緯</t>
  </si>
  <si>
    <t>建</t>
  </si>
  <si>
    <t>緯</t>
  </si>
  <si>
    <t>經緯天下，建樹有成</t>
  </si>
  <si>
    <t>李柏翰</t>
  </si>
  <si>
    <t>柏堅文翰，文武兼修</t>
  </si>
  <si>
    <t>李冠霖</t>
  </si>
  <si>
    <t>冠絕群倫，恩澤如霖</t>
  </si>
  <si>
    <t>李奕勳</t>
  </si>
  <si>
    <t>光彩奕奕，建功立勳</t>
  </si>
  <si>
    <t>李彥霖</t>
  </si>
  <si>
    <t>俊彥之才，潤澤如霖</t>
  </si>
  <si>
    <t>李哲宇</t>
  </si>
  <si>
    <t>宇</t>
  </si>
  <si>
    <t>智慧通達，胸襟寬廣</t>
  </si>
  <si>
    <t>李恩宇</t>
  </si>
  <si>
    <t>心懷感恩，氣度恢弘</t>
  </si>
  <si>
    <t>李峻宇</t>
  </si>
  <si>
    <t>峻</t>
  </si>
  <si>
    <t>高峻挺拔，宇量非凡</t>
  </si>
  <si>
    <t>李軒宇</t>
  </si>
  <si>
    <t>軒昂氣度，志在寰宇</t>
  </si>
  <si>
    <t>李峻佑</t>
  </si>
  <si>
    <t>佑</t>
  </si>
  <si>
    <t>高山峻嶺，天佑吉祥</t>
  </si>
  <si>
    <t>李哲宏</t>
  </si>
  <si>
    <t>宏</t>
  </si>
  <si>
    <t>哲思深遠，志向宏大</t>
  </si>
  <si>
    <t>李恩成</t>
  </si>
  <si>
    <t>成</t>
  </si>
  <si>
    <t>蒙恩得福，功成名就</t>
  </si>
  <si>
    <t>李桓佑</t>
  </si>
  <si>
    <t>桓</t>
  </si>
  <si>
    <t>桓桓威武，得天庇佑</t>
  </si>
  <si>
    <t>李哲緯</t>
  </si>
  <si>
    <t>睿智明哲，經緯有方</t>
  </si>
  <si>
    <t>李峻德</t>
  </si>
  <si>
    <t>德</t>
  </si>
  <si>
    <t>峻極於天，厚德載物</t>
  </si>
  <si>
    <t>李哲賢</t>
  </si>
  <si>
    <t>智慧通達，賢能出眾</t>
  </si>
  <si>
    <t>李軒毅</t>
  </si>
  <si>
    <t>器宇軒昂，堅毅不拔</t>
  </si>
  <si>
    <t>李國正</t>
  </si>
  <si>
    <t>國</t>
  </si>
  <si>
    <t>正</t>
  </si>
  <si>
    <t>為國效力，行事端正</t>
  </si>
  <si>
    <t>李啟弘</t>
  </si>
  <si>
    <t>啟</t>
  </si>
  <si>
    <t>弘</t>
  </si>
  <si>
    <t>開啟新局，弘揚志業</t>
  </si>
  <si>
    <t>李振宇</t>
  </si>
  <si>
    <t>振</t>
  </si>
  <si>
    <t>振奮向上，志在寰宇</t>
  </si>
  <si>
    <t>李健宇</t>
  </si>
  <si>
    <t>健</t>
  </si>
  <si>
    <t>康健強壯，胸懷天下</t>
  </si>
  <si>
    <t>李國光</t>
  </si>
  <si>
    <t>光</t>
  </si>
  <si>
    <t>為國爭光，前程光明</t>
  </si>
  <si>
    <t>李梓廷</t>
  </si>
  <si>
    <t>梓</t>
  </si>
  <si>
    <t>梓材成器，立身端正</t>
  </si>
  <si>
    <t>李振宏</t>
  </si>
  <si>
    <t>振作有為，格局宏大</t>
  </si>
  <si>
    <t>李崇佑</t>
  </si>
  <si>
    <t>崇</t>
  </si>
  <si>
    <t>崇高志節，福澤庇佑</t>
  </si>
  <si>
    <t>李偉銘</t>
  </si>
  <si>
    <t>偉</t>
  </si>
  <si>
    <t>銘</t>
  </si>
  <si>
    <t>偉業有成，銘記於心</t>
  </si>
  <si>
    <t>李振豪</t>
  </si>
  <si>
    <t>豪</t>
  </si>
  <si>
    <t>振奮圖強，豪邁磊落</t>
  </si>
  <si>
    <t>李梓睿</t>
  </si>
  <si>
    <t>睿</t>
  </si>
  <si>
    <t>良材美質，聰慧睿智</t>
  </si>
  <si>
    <t>李國榮</t>
  </si>
  <si>
    <t>榮</t>
  </si>
  <si>
    <t>國之榮光，家聲興盛</t>
  </si>
  <si>
    <t>李曜宇</t>
  </si>
  <si>
    <t>曜</t>
  </si>
  <si>
    <t>光曜四方，氣宇非凡</t>
  </si>
  <si>
    <t>李豐年</t>
  </si>
  <si>
    <t>豐</t>
  </si>
  <si>
    <t>年</t>
  </si>
  <si>
    <t>五穀豐登，歲歲平安</t>
  </si>
  <si>
    <t>李豐志</t>
  </si>
  <si>
    <t>志</t>
  </si>
  <si>
    <t>豐盈厚實，志向遠大</t>
  </si>
  <si>
    <t>女生名單</t>
  </si>
  <si>
    <t>李佳恬</t>
  </si>
  <si>
    <t>佳</t>
  </si>
  <si>
    <t>恬</t>
  </si>
  <si>
    <t>美好佳善，恬靜安然</t>
  </si>
  <si>
    <t>李欣芮</t>
  </si>
  <si>
    <t>欣</t>
  </si>
  <si>
    <t>芮</t>
  </si>
  <si>
    <t>欣欣向榮，草木初生</t>
  </si>
  <si>
    <t>李宜庭</t>
  </si>
  <si>
    <t>宜</t>
  </si>
  <si>
    <t>庭</t>
  </si>
  <si>
    <t>溫良合宜，家庭和睦</t>
  </si>
  <si>
    <t>李佳芸</t>
  </si>
  <si>
    <t>芸</t>
  </si>
  <si>
    <t>佳人如玉，芸香書卷</t>
  </si>
  <si>
    <t>李欣恬</t>
  </si>
  <si>
    <t>欣悅開朗，恬淡自適</t>
  </si>
  <si>
    <t>李佳蓁</t>
  </si>
  <si>
    <t>蓁</t>
  </si>
  <si>
    <t>佳美出眾，草木蓁蓁</t>
  </si>
  <si>
    <t>李欣穎</t>
  </si>
  <si>
    <t>穎</t>
  </si>
  <si>
    <t>欣然向上，聰穎過人</t>
  </si>
  <si>
    <t>李宜蓁</t>
  </si>
  <si>
    <t>合宜大方，生機盎然</t>
  </si>
  <si>
    <t>李佳霏</t>
  </si>
  <si>
    <t>霏</t>
  </si>
  <si>
    <t>佳氣氤氳，雨雪霏霏</t>
  </si>
  <si>
    <t>李佳禧</t>
  </si>
  <si>
    <t>禧</t>
  </si>
  <si>
    <t>美善吉祥，福禧綿長</t>
  </si>
  <si>
    <t>李欣霞</t>
  </si>
  <si>
    <t>霞</t>
  </si>
  <si>
    <t>欣喜開朗，霞光燦爛</t>
  </si>
  <si>
    <t>李思妤</t>
  </si>
  <si>
    <t>思</t>
  </si>
  <si>
    <t>妤</t>
  </si>
  <si>
    <t>思慮周詳，秀外慧中</t>
  </si>
  <si>
    <t>李映彤</t>
  </si>
  <si>
    <t>映</t>
  </si>
  <si>
    <t>彤</t>
  </si>
  <si>
    <t>映日生輝，彤霞絢麗</t>
  </si>
  <si>
    <t>李品彤</t>
  </si>
  <si>
    <t>品</t>
  </si>
  <si>
    <t>品格高潔，彤雲呈祥</t>
  </si>
  <si>
    <t>李柔妤</t>
  </si>
  <si>
    <t>柔</t>
  </si>
  <si>
    <t>溫柔婉約，秀慧聰敏</t>
  </si>
  <si>
    <t>李妍希</t>
  </si>
  <si>
    <t>妍</t>
  </si>
  <si>
    <t>希</t>
  </si>
  <si>
    <t>妍麗端秀，希世之才</t>
  </si>
  <si>
    <t>李品萱</t>
  </si>
  <si>
    <t>萱</t>
  </si>
  <si>
    <t>品德端正，萱草忘憂</t>
  </si>
  <si>
    <t>李思慧</t>
  </si>
  <si>
    <t>慧</t>
  </si>
  <si>
    <t>思路清晰，慧心巧思</t>
  </si>
  <si>
    <t>李映萱</t>
  </si>
  <si>
    <t>光影相映，萱堂安樂</t>
  </si>
  <si>
    <t>李盈瑤</t>
  </si>
  <si>
    <t>盈</t>
  </si>
  <si>
    <t>瑤</t>
  </si>
  <si>
    <t>盈滿豐足，美玉無瑕</t>
  </si>
  <si>
    <t>李思穎</t>
  </si>
  <si>
    <t>深思熟慮，聰穎靈秀</t>
  </si>
  <si>
    <t>李姿霏</t>
  </si>
  <si>
    <t>姿</t>
  </si>
  <si>
    <t>姿容秀麗，霏微如霧</t>
  </si>
  <si>
    <t>李品蓁</t>
  </si>
  <si>
    <t>品性溫良，繁茂生機</t>
  </si>
  <si>
    <t>李映蓉</t>
  </si>
  <si>
    <t>蓉</t>
  </si>
  <si>
    <t>光彩映照，芙蓉出水</t>
  </si>
  <si>
    <t>李恬如</t>
  </si>
  <si>
    <t>如</t>
  </si>
  <si>
    <t>恬靜安詳，如願以償</t>
  </si>
  <si>
    <t>李芸如</t>
  </si>
  <si>
    <t>芸香典雅，稱心如意</t>
  </si>
  <si>
    <t>李芷如</t>
  </si>
  <si>
    <t>芷</t>
  </si>
  <si>
    <t>芷蘭芬芳，柔順如意</t>
  </si>
  <si>
    <t>李芯羽</t>
  </si>
  <si>
    <t>芯</t>
  </si>
  <si>
    <t>羽</t>
  </si>
  <si>
    <t>蘭芯清雅，輕羽自在</t>
  </si>
  <si>
    <t>李書妤</t>
  </si>
  <si>
    <t>書</t>
  </si>
  <si>
    <t>書香門第，秀慧聰穎</t>
  </si>
  <si>
    <t>李芷妤</t>
  </si>
  <si>
    <t>白芷馨香，才貌雙全</t>
  </si>
  <si>
    <t>李恬妤</t>
  </si>
  <si>
    <t>恬適自在，聰慧秀美</t>
  </si>
  <si>
    <t>李芯彤</t>
  </si>
  <si>
    <t>芳草之心，彤霞映日</t>
  </si>
  <si>
    <t>李書萱</t>
  </si>
  <si>
    <t>詩書滿腹，萱草宜人</t>
  </si>
  <si>
    <t>李恬萱</t>
  </si>
  <si>
    <t>恬淡怡然，忘憂安樂</t>
  </si>
  <si>
    <t>李芷萱</t>
  </si>
  <si>
    <t>香草幽芷，萱和無憂</t>
  </si>
  <si>
    <t>李珍瑩</t>
  </si>
  <si>
    <t>珍</t>
  </si>
  <si>
    <t>瑩</t>
  </si>
  <si>
    <t>珍貴難得，晶瑩剔透</t>
  </si>
  <si>
    <t>李婉玉</t>
  </si>
  <si>
    <t>婉</t>
  </si>
  <si>
    <t>玉</t>
  </si>
  <si>
    <t>婉約溫柔，冰清玉潔</t>
  </si>
  <si>
    <t>李彩玉</t>
  </si>
  <si>
    <t>彩</t>
  </si>
  <si>
    <t>文采斑斕，美玉良質</t>
  </si>
  <si>
    <t>李婉如</t>
  </si>
  <si>
    <t>溫婉柔順，如珪如璋</t>
  </si>
  <si>
    <t>李若羽</t>
  </si>
  <si>
    <t>若</t>
  </si>
  <si>
    <t>若蘭清雅，羽翼輕盈</t>
  </si>
  <si>
    <t>李梓安</t>
  </si>
  <si>
    <t>安</t>
  </si>
  <si>
    <t>梓材可成，平安順遂</t>
  </si>
  <si>
    <t>李梓妤</t>
  </si>
  <si>
    <t>良材美質，聰慧秀麗</t>
  </si>
  <si>
    <t>李婕妤</t>
  </si>
  <si>
    <t>婕</t>
  </si>
  <si>
    <t>才德兼備，秀外慧中</t>
  </si>
  <si>
    <t>李若妤</t>
  </si>
  <si>
    <t>婉若清蘭，慧心秀外</t>
  </si>
  <si>
    <t>李婉君</t>
  </si>
  <si>
    <t>君</t>
  </si>
  <si>
    <t>溫婉端莊，君子之風</t>
  </si>
  <si>
    <t>李梓寧</t>
  </si>
  <si>
    <t>寧</t>
  </si>
  <si>
    <t>良材美質，安寧康泰</t>
  </si>
  <si>
    <t>李若瑜</t>
  </si>
  <si>
    <t>瑜</t>
  </si>
  <si>
    <t>若蘭之姿，懷瑾握瑜</t>
  </si>
  <si>
    <t>李婉寧</t>
  </si>
  <si>
    <t>溫婉柔和，寧靜致遠</t>
  </si>
  <si>
    <t>李紫嫣</t>
  </si>
  <si>
    <t>紫</t>
  </si>
  <si>
    <t>嫣</t>
  </si>
  <si>
    <t>紫氣東來，嫣然巧笑</t>
  </si>
  <si>
    <t>李梓語</t>
  </si>
  <si>
    <t>語</t>
  </si>
  <si>
    <t>梓材成器，妙語如珠</t>
  </si>
  <si>
    <t>李姓命名候選名單 — 規則、資料來源與自訂試算</t>
  </si>
  <si>
    <t>• 資料來源：本工作簿的「姓劃／名1劃／名2劃」為康熙字典筆劃，取自命名工具專案的 kangxi-data.js（63,696 字）。</t>
  </si>
  <si>
    <t>• 部首五行取自同專案 script.js 的 CHAR_RADICAL_DB（依字形部首判定，用於八字補救），與五格的「數理五行」（依筆劃尾數）不同。</t>
  </si>
  <si>
    <t>• 五格公式：天格＝姓＋1；人格＝姓＋名1；地格＝名1＋名2；外格＝名2＋1；總格＝姓＋名1＋名2（單姓兩字名適用）。</t>
  </si>
  <si>
    <t>• 三才吉凶：天人、人地兩組關係皆非「剋」＝大吉；其一為「剋」＝中吉；兩者皆「剋」＝需注意。</t>
  </si>
  <si>
    <t>• 全部 100 個名字均為「五格全吉 ＋ 三才大吉」，取自「李」姓 36 組合格筆劃組合中的 15 組大吉組合。</t>
  </si>
  <si>
    <t>• 假設：姓氏固定為「李」（康熙 7 劃，天格 8 為吉數・金）。若換姓氏，改下方試算區的姓劃即可重算。</t>
  </si>
  <si>
    <t>• 尚未納入八字／紫微：使用者未提供出生時辰，故無法判斷五行喜忌；請用「名字補五行」欄位對照八字所缺的五行來挑選。</t>
  </si>
  <si>
    <t>• 字義寓意欄為一般字義解讀，供命名參考，非命理判定結果。</t>
  </si>
  <si>
    <t>■ 81 數吉數清單（33 個）</t>
  </si>
  <si>
    <t>■ 數理五行（依筆劃尾數）</t>
  </si>
  <si>
    <t>■ 五行生剋對照</t>
  </si>
  <si>
    <t>■ 自訂試算（只需修改黃底儲存格）</t>
  </si>
  <si>
    <t>劃數</t>
  </si>
  <si>
    <t>尾數</t>
  </si>
  <si>
    <t>五行</t>
  </si>
  <si>
    <t>組合</t>
  </si>
  <si>
    <t>關係</t>
  </si>
  <si>
    <t>欄位</t>
  </si>
  <si>
    <t>值</t>
  </si>
  <si>
    <t>木木</t>
  </si>
  <si>
    <t>比和</t>
  </si>
  <si>
    <t>姓劃（可改）</t>
  </si>
  <si>
    <t>木火</t>
  </si>
  <si>
    <t>生</t>
  </si>
  <si>
    <t>名1劃（可改）</t>
  </si>
  <si>
    <t>木土</t>
  </si>
  <si>
    <t>剋</t>
  </si>
  <si>
    <t>名2劃（可改）</t>
  </si>
  <si>
    <t>木金</t>
  </si>
  <si>
    <t>木水</t>
  </si>
  <si>
    <t>火木</t>
  </si>
  <si>
    <t>火火</t>
  </si>
  <si>
    <t>火土</t>
  </si>
  <si>
    <t>火金</t>
  </si>
  <si>
    <t>火水</t>
  </si>
  <si>
    <t>土木</t>
  </si>
  <si>
    <t>土火</t>
  </si>
  <si>
    <t>土土</t>
  </si>
  <si>
    <t>土金</t>
  </si>
  <si>
    <t>範例：7 / 9 / 16 即「李柏翰」，結果應為 全吉・金土土・大吉</t>
  </si>
  <si>
    <t>土水</t>
  </si>
  <si>
    <t>金木</t>
  </si>
  <si>
    <t>色彩圖例：藍字＝輸入的康熙筆劃（可改）｜黃底＝試算輸入格｜黑字＝公式自動計算</t>
  </si>
  <si>
    <t>金火</t>
  </si>
  <si>
    <t>金土</t>
  </si>
  <si>
    <t>金金</t>
  </si>
  <si>
    <t>金水</t>
  </si>
  <si>
    <t>水木</t>
  </si>
  <si>
    <t>水火</t>
  </si>
  <si>
    <t>水土</t>
  </si>
  <si>
    <t>水金</t>
  </si>
  <si>
    <t>水水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</si>
</sst>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b/>
      <sz val="15"/>
      <color rgb="FF1F3864"/>
      <name val="Microsoft JhengHei"/>
      <family val="2"/>
      <charset val="136"/>
    </font>
    <font>
      <b/>
      <sz val="10"/>
      <color rgb="FFFFFFFF"/>
      <name val="Microsoft JhengHei"/>
      <family val="2"/>
      <charset val="136"/>
    </font>
    <font>
      <sz val="11"/>
      <name val="Microsoft JhengHei"/>
      <family val="2"/>
      <charset val="136"/>
    </font>
    <font>
      <b/>
      <sz val="13"/>
      <color rgb="FF1F3864"/>
      <name val="Microsoft JhengHei"/>
      <family val="2"/>
      <charset val="136"/>
    </font>
    <font>
      <sz val="11"/>
      <color rgb="FF0000FF"/>
      <name val="Microsoft JhengHei"/>
      <family val="2"/>
      <charset val="136"/>
    </font>
    <font>
      <sz val="10"/>
      <color rgb="FF595959"/>
      <name val="Microsoft JhengHei"/>
      <family val="2"/>
      <charset val="136"/>
    </font>
    <font>
      <b/>
      <sz val="11"/>
      <color rgb="FF1F3864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5A88"/>
      </patternFill>
    </fill>
    <fill>
      <patternFill patternType="solid">
        <fgColor rgb="FFE2EFDA"/>
      </patternFill>
    </fill>
    <fill>
      <patternFill patternType="solid">
        <fgColor rgb="FFF4F7FB"/>
      </patternFill>
    </fill>
    <fill>
      <patternFill patternType="solid">
        <fgColor rgb="FF9B4A6E"/>
      </patternFill>
    </fill>
    <fill>
      <patternFill patternType="solid">
        <fgColor rgb="FF4A6741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2" fillId="6" borderId="0" xfId="0" applyFont="1" applyFill="1" applyAlignment="1">
      <alignment horizontal="center" vertical="center"/>
    </xf>
    <xf numFmtId="0" fontId="3" fillId="0" borderId="0" xfId="0" applyFont="1"/>
    <xf numFmtId="0" fontId="5" fillId="7" borderId="1" xfId="0" applyFont="1" applyFill="1" applyBorder="1" applyAlignment="1">
      <alignment horizontal="center" vertical="center"/>
    </xf>
    <xf numFmtId="0" fontId="6" fillId="0" borderId="0" xfId="0" applyFont="1"/>
    <xf numFmtId="0" fontId="1" fillId="0" borderId="0" xfId="0" applyFont="1"/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sqref="A1:W1"/>
    </sheetView>
  </sheetViews>
  <sheetFormatPr defaultRowHeight="15"/>
  <cols>
    <col min="1" max="1" width="5" customWidth="1"/>
    <col min="2" max="2" width="10" customWidth="1"/>
    <col min="3" max="5" width="5" customWidth="1"/>
    <col min="6" max="6" width="6" customWidth="1"/>
    <col min="7" max="8" width="7" customWidth="1"/>
    <col min="9" max="13" width="6" customWidth="1"/>
    <col min="14" max="18" width="9" customWidth="1"/>
    <col min="19" max="19" width="10" customWidth="1"/>
    <col min="20" max="22" width="11" customWidth="1"/>
    <col min="23" max="23" width="24" customWidth="1"/>
  </cols>
  <sheetData>
    <row r="1" spans="1:23" ht="24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 ht="19.95" customHeight="1">
      <c r="A3" s="3">
        <v>1</v>
      </c>
      <c r="B3" s="4" t="s">
        <v>24</v>
      </c>
      <c r="C3" s="3" t="s">
        <v>25</v>
      </c>
      <c r="D3" s="3" t="s">
        <v>26</v>
      </c>
      <c r="E3" s="3" t="s">
        <v>27</v>
      </c>
      <c r="F3" s="5">
        <v>7</v>
      </c>
      <c r="G3" s="5">
        <v>8</v>
      </c>
      <c r="H3" s="5">
        <v>10</v>
      </c>
      <c r="I3" s="3">
        <f t="shared" ref="I3:I34" si="0">F3+1</f>
        <v>8</v>
      </c>
      <c r="J3" s="3">
        <f t="shared" ref="J3:J34" si="1">F3+G3</f>
        <v>15</v>
      </c>
      <c r="K3" s="3">
        <f t="shared" ref="K3:K34" si="2">G3+H3</f>
        <v>18</v>
      </c>
      <c r="L3" s="3">
        <f t="shared" ref="L3:L34" si="3">H3+1</f>
        <v>11</v>
      </c>
      <c r="M3" s="3">
        <f t="shared" ref="M3:M34" si="4">F3+G3+H3</f>
        <v>25</v>
      </c>
      <c r="N3" s="6" t="str">
        <f>IF(COUNTIF(規則與試算!$A$14:$A$46,I3)+COUNTIF(規則與試算!$A$14:$A$46,J3)+COUNTIF(規則與試算!$A$14:$A$46,K3)+COUNTIF(規則與試算!$A$14:$A$46,L3)+COUNTIF(規則與試算!$A$14:$A$46,M3)=5,"全吉","有凶")</f>
        <v>全吉</v>
      </c>
      <c r="O3" s="3" t="str">
        <f>INDEX(規則與試算!$D$14:$D$23,MOD(I3,10)+1)&amp;INDEX(規則與試算!$D$14:$D$23,MOD(J3,10)+1)&amp;INDEX(規則與試算!$D$14:$D$23,MOD(K3,10)+1)</f>
        <v>金土金</v>
      </c>
      <c r="P3" s="3" t="str">
        <f>INDEX(規則與試算!$G$14:$G$38,MATCH(MID(O3,1,1)&amp;MID(O3,2,1),規則與試算!$F$14:$F$38,0))</f>
        <v>生</v>
      </c>
      <c r="Q3" s="3" t="str">
        <f>INDEX(規則與試算!$G$14:$G$38,MATCH(MID(O3,2,1)&amp;MID(O3,3,1),規則與試算!$F$14:$F$38,0))</f>
        <v>生</v>
      </c>
      <c r="R3" s="6" t="str">
        <f t="shared" ref="R3:R34" si="5">IF(AND(P3&lt;&gt;"剋",Q3&lt;&gt;"剋"),"大吉",IF(OR(P3&lt;&gt;"剋",Q3&lt;&gt;"剋"),"中吉","需注意"))</f>
        <v>大吉</v>
      </c>
      <c r="S3" s="3" t="s">
        <v>28</v>
      </c>
      <c r="T3" s="3" t="s">
        <v>28</v>
      </c>
      <c r="U3" s="3" t="s">
        <v>29</v>
      </c>
      <c r="V3" s="3" t="str">
        <f t="shared" ref="V3:V34" si="6">T3&amp;U3</f>
        <v>木火</v>
      </c>
      <c r="W3" s="7" t="s">
        <v>30</v>
      </c>
    </row>
    <row r="4" spans="1:23" ht="19.95" customHeight="1">
      <c r="A4" s="8">
        <v>2</v>
      </c>
      <c r="B4" s="9" t="s">
        <v>31</v>
      </c>
      <c r="C4" s="8" t="s">
        <v>25</v>
      </c>
      <c r="D4" s="8" t="s">
        <v>32</v>
      </c>
      <c r="E4" s="8" t="s">
        <v>33</v>
      </c>
      <c r="F4" s="10">
        <v>7</v>
      </c>
      <c r="G4" s="10">
        <v>8</v>
      </c>
      <c r="H4" s="10">
        <v>10</v>
      </c>
      <c r="I4" s="8">
        <f t="shared" si="0"/>
        <v>8</v>
      </c>
      <c r="J4" s="8">
        <f t="shared" si="1"/>
        <v>15</v>
      </c>
      <c r="K4" s="8">
        <f t="shared" si="2"/>
        <v>18</v>
      </c>
      <c r="L4" s="8">
        <f t="shared" si="3"/>
        <v>11</v>
      </c>
      <c r="M4" s="8">
        <f t="shared" si="4"/>
        <v>25</v>
      </c>
      <c r="N4" s="6" t="str">
        <f>IF(COUNTIF(規則與試算!$A$14:$A$46,I4)+COUNTIF(規則與試算!$A$14:$A$46,J4)+COUNTIF(規則與試算!$A$14:$A$46,K4)+COUNTIF(規則與試算!$A$14:$A$46,L4)+COUNTIF(規則與試算!$A$14:$A$46,M4)=5,"全吉","有凶")</f>
        <v>全吉</v>
      </c>
      <c r="O4" s="8" t="str">
        <f>INDEX(規則與試算!$D$14:$D$23,MOD(I4,10)+1)&amp;INDEX(規則與試算!$D$14:$D$23,MOD(J4,10)+1)&amp;INDEX(規則與試算!$D$14:$D$23,MOD(K4,10)+1)</f>
        <v>金土金</v>
      </c>
      <c r="P4" s="8" t="str">
        <f>INDEX(規則與試算!$G$14:$G$38,MATCH(MID(O4,1,1)&amp;MID(O4,2,1),規則與試算!$F$14:$F$38,0))</f>
        <v>生</v>
      </c>
      <c r="Q4" s="8" t="str">
        <f>INDEX(規則與試算!$G$14:$G$38,MATCH(MID(O4,2,1)&amp;MID(O4,3,1),規則與試算!$F$14:$F$38,0))</f>
        <v>生</v>
      </c>
      <c r="R4" s="6" t="str">
        <f t="shared" si="5"/>
        <v>大吉</v>
      </c>
      <c r="S4" s="8" t="s">
        <v>28</v>
      </c>
      <c r="T4" s="8" t="s">
        <v>34</v>
      </c>
      <c r="U4" s="8" t="s">
        <v>29</v>
      </c>
      <c r="V4" s="8" t="str">
        <f t="shared" si="6"/>
        <v>金火</v>
      </c>
      <c r="W4" s="11" t="s">
        <v>35</v>
      </c>
    </row>
    <row r="5" spans="1:23" ht="19.95" customHeight="1">
      <c r="A5" s="3">
        <v>3</v>
      </c>
      <c r="B5" s="4" t="s">
        <v>36</v>
      </c>
      <c r="C5" s="3" t="s">
        <v>25</v>
      </c>
      <c r="D5" s="3" t="s">
        <v>37</v>
      </c>
      <c r="E5" s="3" t="s">
        <v>38</v>
      </c>
      <c r="F5" s="5">
        <v>7</v>
      </c>
      <c r="G5" s="5">
        <v>8</v>
      </c>
      <c r="H5" s="5">
        <v>10</v>
      </c>
      <c r="I5" s="3">
        <f t="shared" si="0"/>
        <v>8</v>
      </c>
      <c r="J5" s="3">
        <f t="shared" si="1"/>
        <v>15</v>
      </c>
      <c r="K5" s="3">
        <f t="shared" si="2"/>
        <v>18</v>
      </c>
      <c r="L5" s="3">
        <f t="shared" si="3"/>
        <v>11</v>
      </c>
      <c r="M5" s="3">
        <f t="shared" si="4"/>
        <v>25</v>
      </c>
      <c r="N5" s="6" t="str">
        <f>IF(COUNTIF(規則與試算!$A$14:$A$46,I5)+COUNTIF(規則與試算!$A$14:$A$46,J5)+COUNTIF(規則與試算!$A$14:$A$46,K5)+COUNTIF(規則與試算!$A$14:$A$46,L5)+COUNTIF(規則與試算!$A$14:$A$46,M5)=5,"全吉","有凶")</f>
        <v>全吉</v>
      </c>
      <c r="O5" s="3" t="str">
        <f>INDEX(規則與試算!$D$14:$D$23,MOD(I5,10)+1)&amp;INDEX(規則與試算!$D$14:$D$23,MOD(J5,10)+1)&amp;INDEX(規則與試算!$D$14:$D$23,MOD(K5,10)+1)</f>
        <v>金土金</v>
      </c>
      <c r="P5" s="3" t="str">
        <f>INDEX(規則與試算!$G$14:$G$38,MATCH(MID(O5,1,1)&amp;MID(O5,2,1),規則與試算!$F$14:$F$38,0))</f>
        <v>生</v>
      </c>
      <c r="Q5" s="3" t="str">
        <f>INDEX(規則與試算!$G$14:$G$38,MATCH(MID(O5,2,1)&amp;MID(O5,3,1),規則與試算!$F$14:$F$38,0))</f>
        <v>生</v>
      </c>
      <c r="R5" s="6" t="str">
        <f t="shared" si="5"/>
        <v>大吉</v>
      </c>
      <c r="S5" s="3" t="s">
        <v>28</v>
      </c>
      <c r="T5" s="3" t="s">
        <v>29</v>
      </c>
      <c r="U5" s="3" t="s">
        <v>39</v>
      </c>
      <c r="V5" s="3" t="str">
        <f t="shared" si="6"/>
        <v>火土</v>
      </c>
      <c r="W5" s="7" t="s">
        <v>40</v>
      </c>
    </row>
    <row r="6" spans="1:23" ht="19.95" customHeight="1">
      <c r="A6" s="8">
        <v>4</v>
      </c>
      <c r="B6" s="9" t="s">
        <v>41</v>
      </c>
      <c r="C6" s="8" t="s">
        <v>25</v>
      </c>
      <c r="D6" s="8" t="s">
        <v>42</v>
      </c>
      <c r="E6" s="8" t="s">
        <v>38</v>
      </c>
      <c r="F6" s="10">
        <v>7</v>
      </c>
      <c r="G6" s="10">
        <v>8</v>
      </c>
      <c r="H6" s="10">
        <v>10</v>
      </c>
      <c r="I6" s="8">
        <f t="shared" si="0"/>
        <v>8</v>
      </c>
      <c r="J6" s="8">
        <f t="shared" si="1"/>
        <v>15</v>
      </c>
      <c r="K6" s="8">
        <f t="shared" si="2"/>
        <v>18</v>
      </c>
      <c r="L6" s="8">
        <f t="shared" si="3"/>
        <v>11</v>
      </c>
      <c r="M6" s="8">
        <f t="shared" si="4"/>
        <v>25</v>
      </c>
      <c r="N6" s="6" t="str">
        <f>IF(COUNTIF(規則與試算!$A$14:$A$46,I6)+COUNTIF(規則與試算!$A$14:$A$46,J6)+COUNTIF(規則與試算!$A$14:$A$46,K6)+COUNTIF(規則與試算!$A$14:$A$46,L6)+COUNTIF(規則與試算!$A$14:$A$46,M6)=5,"全吉","有凶")</f>
        <v>全吉</v>
      </c>
      <c r="O6" s="8" t="str">
        <f>INDEX(規則與試算!$D$14:$D$23,MOD(I6,10)+1)&amp;INDEX(規則與試算!$D$14:$D$23,MOD(J6,10)+1)&amp;INDEX(規則與試算!$D$14:$D$23,MOD(K6,10)+1)</f>
        <v>金土金</v>
      </c>
      <c r="P6" s="8" t="str">
        <f>INDEX(規則與試算!$G$14:$G$38,MATCH(MID(O6,1,1)&amp;MID(O6,2,1),規則與試算!$F$14:$F$38,0))</f>
        <v>生</v>
      </c>
      <c r="Q6" s="8" t="str">
        <f>INDEX(規則與試算!$G$14:$G$38,MATCH(MID(O6,2,1)&amp;MID(O6,3,1),規則與試算!$F$14:$F$38,0))</f>
        <v>生</v>
      </c>
      <c r="R6" s="6" t="str">
        <f t="shared" si="5"/>
        <v>大吉</v>
      </c>
      <c r="S6" s="8" t="s">
        <v>28</v>
      </c>
      <c r="T6" s="8" t="s">
        <v>29</v>
      </c>
      <c r="U6" s="8" t="s">
        <v>39</v>
      </c>
      <c r="V6" s="8" t="str">
        <f t="shared" si="6"/>
        <v>火土</v>
      </c>
      <c r="W6" s="11" t="s">
        <v>43</v>
      </c>
    </row>
    <row r="7" spans="1:23" ht="19.95" customHeight="1">
      <c r="A7" s="3">
        <v>5</v>
      </c>
      <c r="B7" s="4" t="s">
        <v>44</v>
      </c>
      <c r="C7" s="3" t="s">
        <v>25</v>
      </c>
      <c r="D7" s="3" t="s">
        <v>45</v>
      </c>
      <c r="E7" s="3" t="s">
        <v>46</v>
      </c>
      <c r="F7" s="5">
        <v>7</v>
      </c>
      <c r="G7" s="5">
        <v>8</v>
      </c>
      <c r="H7" s="5">
        <v>10</v>
      </c>
      <c r="I7" s="3">
        <f t="shared" si="0"/>
        <v>8</v>
      </c>
      <c r="J7" s="3">
        <f t="shared" si="1"/>
        <v>15</v>
      </c>
      <c r="K7" s="3">
        <f t="shared" si="2"/>
        <v>18</v>
      </c>
      <c r="L7" s="3">
        <f t="shared" si="3"/>
        <v>11</v>
      </c>
      <c r="M7" s="3">
        <f t="shared" si="4"/>
        <v>25</v>
      </c>
      <c r="N7" s="6" t="str">
        <f>IF(COUNTIF(規則與試算!$A$14:$A$46,I7)+COUNTIF(規則與試算!$A$14:$A$46,J7)+COUNTIF(規則與試算!$A$14:$A$46,K7)+COUNTIF(規則與試算!$A$14:$A$46,L7)+COUNTIF(規則與試算!$A$14:$A$46,M7)=5,"全吉","有凶")</f>
        <v>全吉</v>
      </c>
      <c r="O7" s="3" t="str">
        <f>INDEX(規則與試算!$D$14:$D$23,MOD(I7,10)+1)&amp;INDEX(規則與試算!$D$14:$D$23,MOD(J7,10)+1)&amp;INDEX(規則與試算!$D$14:$D$23,MOD(K7,10)+1)</f>
        <v>金土金</v>
      </c>
      <c r="P7" s="3" t="str">
        <f>INDEX(規則與試算!$G$14:$G$38,MATCH(MID(O7,1,1)&amp;MID(O7,2,1),規則與試算!$F$14:$F$38,0))</f>
        <v>生</v>
      </c>
      <c r="Q7" s="3" t="str">
        <f>INDEX(規則與試算!$G$14:$G$38,MATCH(MID(O7,2,1)&amp;MID(O7,3,1),規則與試算!$F$14:$F$38,0))</f>
        <v>生</v>
      </c>
      <c r="R7" s="6" t="str">
        <f t="shared" si="5"/>
        <v>大吉</v>
      </c>
      <c r="S7" s="3" t="s">
        <v>28</v>
      </c>
      <c r="T7" s="3" t="s">
        <v>28</v>
      </c>
      <c r="U7" s="3" t="s">
        <v>28</v>
      </c>
      <c r="V7" s="3" t="str">
        <f t="shared" si="6"/>
        <v>木木</v>
      </c>
      <c r="W7" s="7" t="s">
        <v>47</v>
      </c>
    </row>
    <row r="8" spans="1:23" ht="19.95" customHeight="1">
      <c r="A8" s="8">
        <v>6</v>
      </c>
      <c r="B8" s="9" t="s">
        <v>48</v>
      </c>
      <c r="C8" s="8" t="s">
        <v>25</v>
      </c>
      <c r="D8" s="8" t="s">
        <v>49</v>
      </c>
      <c r="E8" s="8" t="s">
        <v>50</v>
      </c>
      <c r="F8" s="10">
        <v>7</v>
      </c>
      <c r="G8" s="10">
        <v>8</v>
      </c>
      <c r="H8" s="10">
        <v>16</v>
      </c>
      <c r="I8" s="8">
        <f t="shared" si="0"/>
        <v>8</v>
      </c>
      <c r="J8" s="8">
        <f t="shared" si="1"/>
        <v>15</v>
      </c>
      <c r="K8" s="8">
        <f t="shared" si="2"/>
        <v>24</v>
      </c>
      <c r="L8" s="8">
        <f t="shared" si="3"/>
        <v>17</v>
      </c>
      <c r="M8" s="8">
        <f t="shared" si="4"/>
        <v>31</v>
      </c>
      <c r="N8" s="6" t="str">
        <f>IF(COUNTIF(規則與試算!$A$14:$A$46,I8)+COUNTIF(規則與試算!$A$14:$A$46,J8)+COUNTIF(規則與試算!$A$14:$A$46,K8)+COUNTIF(規則與試算!$A$14:$A$46,L8)+COUNTIF(規則與試算!$A$14:$A$46,M8)=5,"全吉","有凶")</f>
        <v>全吉</v>
      </c>
      <c r="O8" s="8" t="str">
        <f>INDEX(規則與試算!$D$14:$D$23,MOD(I8,10)+1)&amp;INDEX(規則與試算!$D$14:$D$23,MOD(J8,10)+1)&amp;INDEX(規則與試算!$D$14:$D$23,MOD(K8,10)+1)</f>
        <v>金土火</v>
      </c>
      <c r="P8" s="8" t="str">
        <f>INDEX(規則與試算!$G$14:$G$38,MATCH(MID(O8,1,1)&amp;MID(O8,2,1),規則與試算!$F$14:$F$38,0))</f>
        <v>生</v>
      </c>
      <c r="Q8" s="8" t="str">
        <f>INDEX(規則與試算!$G$14:$G$38,MATCH(MID(O8,2,1)&amp;MID(O8,3,1),規則與試算!$F$14:$F$38,0))</f>
        <v>生</v>
      </c>
      <c r="R8" s="6" t="str">
        <f t="shared" si="5"/>
        <v>大吉</v>
      </c>
      <c r="S8" s="8" t="s">
        <v>28</v>
      </c>
      <c r="T8" s="8" t="s">
        <v>34</v>
      </c>
      <c r="U8" s="8" t="s">
        <v>51</v>
      </c>
      <c r="V8" s="8" t="str">
        <f t="shared" si="6"/>
        <v>金水</v>
      </c>
      <c r="W8" s="11" t="s">
        <v>52</v>
      </c>
    </row>
    <row r="9" spans="1:23" ht="19.95" customHeight="1">
      <c r="A9" s="3">
        <v>7</v>
      </c>
      <c r="B9" s="4" t="s">
        <v>53</v>
      </c>
      <c r="C9" s="3" t="s">
        <v>25</v>
      </c>
      <c r="D9" s="3" t="s">
        <v>32</v>
      </c>
      <c r="E9" s="3" t="s">
        <v>54</v>
      </c>
      <c r="F9" s="5">
        <v>7</v>
      </c>
      <c r="G9" s="5">
        <v>8</v>
      </c>
      <c r="H9" s="5">
        <v>16</v>
      </c>
      <c r="I9" s="3">
        <f t="shared" si="0"/>
        <v>8</v>
      </c>
      <c r="J9" s="3">
        <f t="shared" si="1"/>
        <v>15</v>
      </c>
      <c r="K9" s="3">
        <f t="shared" si="2"/>
        <v>24</v>
      </c>
      <c r="L9" s="3">
        <f t="shared" si="3"/>
        <v>17</v>
      </c>
      <c r="M9" s="3">
        <f t="shared" si="4"/>
        <v>31</v>
      </c>
      <c r="N9" s="6" t="str">
        <f>IF(COUNTIF(規則與試算!$A$14:$A$46,I9)+COUNTIF(規則與試算!$A$14:$A$46,J9)+COUNTIF(規則與試算!$A$14:$A$46,K9)+COUNTIF(規則與試算!$A$14:$A$46,L9)+COUNTIF(規則與試算!$A$14:$A$46,M9)=5,"全吉","有凶")</f>
        <v>全吉</v>
      </c>
      <c r="O9" s="3" t="str">
        <f>INDEX(規則與試算!$D$14:$D$23,MOD(I9,10)+1)&amp;INDEX(規則與試算!$D$14:$D$23,MOD(J9,10)+1)&amp;INDEX(規則與試算!$D$14:$D$23,MOD(K9,10)+1)</f>
        <v>金土火</v>
      </c>
      <c r="P9" s="3" t="str">
        <f>INDEX(規則與試算!$G$14:$G$38,MATCH(MID(O9,1,1)&amp;MID(O9,2,1),規則與試算!$F$14:$F$38,0))</f>
        <v>生</v>
      </c>
      <c r="Q9" s="3" t="str">
        <f>INDEX(規則與試算!$G$14:$G$38,MATCH(MID(O9,2,1)&amp;MID(O9,3,1),規則與試算!$F$14:$F$38,0))</f>
        <v>生</v>
      </c>
      <c r="R9" s="6" t="str">
        <f t="shared" si="5"/>
        <v>大吉</v>
      </c>
      <c r="S9" s="3" t="s">
        <v>28</v>
      </c>
      <c r="T9" s="3" t="s">
        <v>34</v>
      </c>
      <c r="U9" s="3" t="s">
        <v>34</v>
      </c>
      <c r="V9" s="3" t="str">
        <f t="shared" si="6"/>
        <v>金金</v>
      </c>
      <c r="W9" s="7" t="s">
        <v>55</v>
      </c>
    </row>
    <row r="10" spans="1:23" ht="19.95" customHeight="1">
      <c r="A10" s="8">
        <v>8</v>
      </c>
      <c r="B10" s="9" t="s">
        <v>56</v>
      </c>
      <c r="C10" s="8" t="s">
        <v>25</v>
      </c>
      <c r="D10" s="8" t="s">
        <v>45</v>
      </c>
      <c r="E10" s="8" t="s">
        <v>57</v>
      </c>
      <c r="F10" s="10">
        <v>7</v>
      </c>
      <c r="G10" s="10">
        <v>8</v>
      </c>
      <c r="H10" s="10">
        <v>16</v>
      </c>
      <c r="I10" s="8">
        <f t="shared" si="0"/>
        <v>8</v>
      </c>
      <c r="J10" s="8">
        <f t="shared" si="1"/>
        <v>15</v>
      </c>
      <c r="K10" s="8">
        <f t="shared" si="2"/>
        <v>24</v>
      </c>
      <c r="L10" s="8">
        <f t="shared" si="3"/>
        <v>17</v>
      </c>
      <c r="M10" s="8">
        <f t="shared" si="4"/>
        <v>31</v>
      </c>
      <c r="N10" s="6" t="str">
        <f>IF(COUNTIF(規則與試算!$A$14:$A$46,I10)+COUNTIF(規則與試算!$A$14:$A$46,J10)+COUNTIF(規則與試算!$A$14:$A$46,K10)+COUNTIF(規則與試算!$A$14:$A$46,L10)+COUNTIF(規則與試算!$A$14:$A$46,M10)=5,"全吉","有凶")</f>
        <v>全吉</v>
      </c>
      <c r="O10" s="8" t="str">
        <f>INDEX(規則與試算!$D$14:$D$23,MOD(I10,10)+1)&amp;INDEX(規則與試算!$D$14:$D$23,MOD(J10,10)+1)&amp;INDEX(規則與試算!$D$14:$D$23,MOD(K10,10)+1)</f>
        <v>金土火</v>
      </c>
      <c r="P10" s="8" t="str">
        <f>INDEX(規則與試算!$G$14:$G$38,MATCH(MID(O10,1,1)&amp;MID(O10,2,1),規則與試算!$F$14:$F$38,0))</f>
        <v>生</v>
      </c>
      <c r="Q10" s="8" t="str">
        <f>INDEX(規則與試算!$G$14:$G$38,MATCH(MID(O10,2,1)&amp;MID(O10,3,1),規則與試算!$F$14:$F$38,0))</f>
        <v>生</v>
      </c>
      <c r="R10" s="6" t="str">
        <f t="shared" si="5"/>
        <v>大吉</v>
      </c>
      <c r="S10" s="8" t="s">
        <v>28</v>
      </c>
      <c r="T10" s="8" t="s">
        <v>28</v>
      </c>
      <c r="U10" s="8" t="s">
        <v>51</v>
      </c>
      <c r="V10" s="8" t="str">
        <f t="shared" si="6"/>
        <v>木水</v>
      </c>
      <c r="W10" s="11" t="s">
        <v>58</v>
      </c>
    </row>
    <row r="11" spans="1:23" ht="19.95" customHeight="1">
      <c r="A11" s="3">
        <v>9</v>
      </c>
      <c r="B11" s="4" t="s">
        <v>59</v>
      </c>
      <c r="C11" s="3" t="s">
        <v>25</v>
      </c>
      <c r="D11" s="3" t="s">
        <v>32</v>
      </c>
      <c r="E11" s="3" t="s">
        <v>60</v>
      </c>
      <c r="F11" s="5">
        <v>7</v>
      </c>
      <c r="G11" s="5">
        <v>8</v>
      </c>
      <c r="H11" s="5">
        <v>17</v>
      </c>
      <c r="I11" s="3">
        <f t="shared" si="0"/>
        <v>8</v>
      </c>
      <c r="J11" s="3">
        <f t="shared" si="1"/>
        <v>15</v>
      </c>
      <c r="K11" s="3">
        <f t="shared" si="2"/>
        <v>25</v>
      </c>
      <c r="L11" s="3">
        <f t="shared" si="3"/>
        <v>18</v>
      </c>
      <c r="M11" s="3">
        <f t="shared" si="4"/>
        <v>32</v>
      </c>
      <c r="N11" s="6" t="str">
        <f>IF(COUNTIF(規則與試算!$A$14:$A$46,I11)+COUNTIF(規則與試算!$A$14:$A$46,J11)+COUNTIF(規則與試算!$A$14:$A$46,K11)+COUNTIF(規則與試算!$A$14:$A$46,L11)+COUNTIF(規則與試算!$A$14:$A$46,M11)=5,"全吉","有凶")</f>
        <v>全吉</v>
      </c>
      <c r="O11" s="3" t="str">
        <f>INDEX(規則與試算!$D$14:$D$23,MOD(I11,10)+1)&amp;INDEX(規則與試算!$D$14:$D$23,MOD(J11,10)+1)&amp;INDEX(規則與試算!$D$14:$D$23,MOD(K11,10)+1)</f>
        <v>金土土</v>
      </c>
      <c r="P11" s="3" t="str">
        <f>INDEX(規則與試算!$G$14:$G$38,MATCH(MID(O11,1,1)&amp;MID(O11,2,1),規則與試算!$F$14:$F$38,0))</f>
        <v>生</v>
      </c>
      <c r="Q11" s="3" t="str">
        <f>INDEX(規則與試算!$G$14:$G$38,MATCH(MID(O11,2,1)&amp;MID(O11,3,1),規則與試算!$F$14:$F$38,0))</f>
        <v>比和</v>
      </c>
      <c r="R11" s="6" t="str">
        <f t="shared" si="5"/>
        <v>大吉</v>
      </c>
      <c r="S11" s="3" t="s">
        <v>28</v>
      </c>
      <c r="T11" s="3" t="s">
        <v>34</v>
      </c>
      <c r="U11" s="3" t="s">
        <v>51</v>
      </c>
      <c r="V11" s="3" t="str">
        <f t="shared" si="6"/>
        <v>金水</v>
      </c>
      <c r="W11" s="7" t="s">
        <v>61</v>
      </c>
    </row>
    <row r="12" spans="1:23" ht="19.95" customHeight="1">
      <c r="A12" s="8">
        <v>10</v>
      </c>
      <c r="B12" s="9" t="s">
        <v>62</v>
      </c>
      <c r="C12" s="8" t="s">
        <v>25</v>
      </c>
      <c r="D12" s="8" t="s">
        <v>26</v>
      </c>
      <c r="E12" s="8" t="s">
        <v>63</v>
      </c>
      <c r="F12" s="10">
        <v>7</v>
      </c>
      <c r="G12" s="10">
        <v>8</v>
      </c>
      <c r="H12" s="10">
        <v>17</v>
      </c>
      <c r="I12" s="8">
        <f t="shared" si="0"/>
        <v>8</v>
      </c>
      <c r="J12" s="8">
        <f t="shared" si="1"/>
        <v>15</v>
      </c>
      <c r="K12" s="8">
        <f t="shared" si="2"/>
        <v>25</v>
      </c>
      <c r="L12" s="8">
        <f t="shared" si="3"/>
        <v>18</v>
      </c>
      <c r="M12" s="8">
        <f t="shared" si="4"/>
        <v>32</v>
      </c>
      <c r="N12" s="6" t="str">
        <f>IF(COUNTIF(規則與試算!$A$14:$A$46,I12)+COUNTIF(規則與試算!$A$14:$A$46,J12)+COUNTIF(規則與試算!$A$14:$A$46,K12)+COUNTIF(規則與試算!$A$14:$A$46,L12)+COUNTIF(規則與試算!$A$14:$A$46,M12)=5,"全吉","有凶")</f>
        <v>全吉</v>
      </c>
      <c r="O12" s="8" t="str">
        <f>INDEX(規則與試算!$D$14:$D$23,MOD(I12,10)+1)&amp;INDEX(規則與試算!$D$14:$D$23,MOD(J12,10)+1)&amp;INDEX(規則與試算!$D$14:$D$23,MOD(K12,10)+1)</f>
        <v>金土土</v>
      </c>
      <c r="P12" s="8" t="str">
        <f>INDEX(規則與試算!$G$14:$G$38,MATCH(MID(O12,1,1)&amp;MID(O12,2,1),規則與試算!$F$14:$F$38,0))</f>
        <v>生</v>
      </c>
      <c r="Q12" s="8" t="str">
        <f>INDEX(規則與試算!$G$14:$G$38,MATCH(MID(O12,2,1)&amp;MID(O12,3,1),規則與試算!$F$14:$F$38,0))</f>
        <v>比和</v>
      </c>
      <c r="R12" s="6" t="str">
        <f t="shared" si="5"/>
        <v>大吉</v>
      </c>
      <c r="S12" s="8" t="s">
        <v>28</v>
      </c>
      <c r="T12" s="8" t="s">
        <v>28</v>
      </c>
      <c r="U12" s="8" t="s">
        <v>34</v>
      </c>
      <c r="V12" s="8" t="str">
        <f t="shared" si="6"/>
        <v>木金</v>
      </c>
      <c r="W12" s="11" t="s">
        <v>64</v>
      </c>
    </row>
    <row r="13" spans="1:23" ht="19.95" customHeight="1">
      <c r="A13" s="3">
        <v>11</v>
      </c>
      <c r="B13" s="4" t="s">
        <v>65</v>
      </c>
      <c r="C13" s="3" t="s">
        <v>25</v>
      </c>
      <c r="D13" s="3" t="s">
        <v>37</v>
      </c>
      <c r="E13" s="3" t="s">
        <v>66</v>
      </c>
      <c r="F13" s="5">
        <v>7</v>
      </c>
      <c r="G13" s="5">
        <v>8</v>
      </c>
      <c r="H13" s="5">
        <v>17</v>
      </c>
      <c r="I13" s="3">
        <f t="shared" si="0"/>
        <v>8</v>
      </c>
      <c r="J13" s="3">
        <f t="shared" si="1"/>
        <v>15</v>
      </c>
      <c r="K13" s="3">
        <f t="shared" si="2"/>
        <v>25</v>
      </c>
      <c r="L13" s="3">
        <f t="shared" si="3"/>
        <v>18</v>
      </c>
      <c r="M13" s="3">
        <f t="shared" si="4"/>
        <v>32</v>
      </c>
      <c r="N13" s="6" t="str">
        <f>IF(COUNTIF(規則與試算!$A$14:$A$46,I13)+COUNTIF(規則與試算!$A$14:$A$46,J13)+COUNTIF(規則與試算!$A$14:$A$46,K13)+COUNTIF(規則與試算!$A$14:$A$46,L13)+COUNTIF(規則與試算!$A$14:$A$46,M13)=5,"全吉","有凶")</f>
        <v>全吉</v>
      </c>
      <c r="O13" s="3" t="str">
        <f>INDEX(規則與試算!$D$14:$D$23,MOD(I13,10)+1)&amp;INDEX(規則與試算!$D$14:$D$23,MOD(J13,10)+1)&amp;INDEX(規則與試算!$D$14:$D$23,MOD(K13,10)+1)</f>
        <v>金土土</v>
      </c>
      <c r="P13" s="3" t="str">
        <f>INDEX(規則與試算!$G$14:$G$38,MATCH(MID(O13,1,1)&amp;MID(O13,2,1),規則與試算!$F$14:$F$38,0))</f>
        <v>生</v>
      </c>
      <c r="Q13" s="3" t="str">
        <f>INDEX(規則與試算!$G$14:$G$38,MATCH(MID(O13,2,1)&amp;MID(O13,3,1),規則與試算!$F$14:$F$38,0))</f>
        <v>比和</v>
      </c>
      <c r="R13" s="6" t="str">
        <f t="shared" si="5"/>
        <v>大吉</v>
      </c>
      <c r="S13" s="3" t="s">
        <v>28</v>
      </c>
      <c r="T13" s="3" t="s">
        <v>29</v>
      </c>
      <c r="U13" s="3" t="s">
        <v>29</v>
      </c>
      <c r="V13" s="3" t="str">
        <f t="shared" si="6"/>
        <v>火火</v>
      </c>
      <c r="W13" s="7" t="s">
        <v>67</v>
      </c>
    </row>
    <row r="14" spans="1:23" ht="19.95" customHeight="1">
      <c r="A14" s="8">
        <v>12</v>
      </c>
      <c r="B14" s="9" t="s">
        <v>68</v>
      </c>
      <c r="C14" s="8" t="s">
        <v>25</v>
      </c>
      <c r="D14" s="8" t="s">
        <v>69</v>
      </c>
      <c r="E14" s="8" t="s">
        <v>70</v>
      </c>
      <c r="F14" s="10">
        <v>7</v>
      </c>
      <c r="G14" s="10">
        <v>9</v>
      </c>
      <c r="H14" s="10">
        <v>7</v>
      </c>
      <c r="I14" s="8">
        <f t="shared" si="0"/>
        <v>8</v>
      </c>
      <c r="J14" s="8">
        <f t="shared" si="1"/>
        <v>16</v>
      </c>
      <c r="K14" s="8">
        <f t="shared" si="2"/>
        <v>16</v>
      </c>
      <c r="L14" s="8">
        <f t="shared" si="3"/>
        <v>8</v>
      </c>
      <c r="M14" s="8">
        <f t="shared" si="4"/>
        <v>23</v>
      </c>
      <c r="N14" s="6" t="str">
        <f>IF(COUNTIF(規則與試算!$A$14:$A$46,I14)+COUNTIF(規則與試算!$A$14:$A$46,J14)+COUNTIF(規則與試算!$A$14:$A$46,K14)+COUNTIF(規則與試算!$A$14:$A$46,L14)+COUNTIF(規則與試算!$A$14:$A$46,M14)=5,"全吉","有凶")</f>
        <v>全吉</v>
      </c>
      <c r="O14" s="8" t="str">
        <f>INDEX(規則與試算!$D$14:$D$23,MOD(I14,10)+1)&amp;INDEX(規則與試算!$D$14:$D$23,MOD(J14,10)+1)&amp;INDEX(規則與試算!$D$14:$D$23,MOD(K14,10)+1)</f>
        <v>金土土</v>
      </c>
      <c r="P14" s="8" t="str">
        <f>INDEX(規則與試算!$G$14:$G$38,MATCH(MID(O14,1,1)&amp;MID(O14,2,1),規則與試算!$F$14:$F$38,0))</f>
        <v>生</v>
      </c>
      <c r="Q14" s="8" t="str">
        <f>INDEX(規則與試算!$G$14:$G$38,MATCH(MID(O14,2,1)&amp;MID(O14,3,1),規則與試算!$F$14:$F$38,0))</f>
        <v>比和</v>
      </c>
      <c r="R14" s="6" t="str">
        <f t="shared" si="5"/>
        <v>大吉</v>
      </c>
      <c r="S14" s="8" t="s">
        <v>28</v>
      </c>
      <c r="T14" s="8" t="s">
        <v>34</v>
      </c>
      <c r="U14" s="8" t="s">
        <v>28</v>
      </c>
      <c r="V14" s="8" t="str">
        <f t="shared" si="6"/>
        <v>金木</v>
      </c>
      <c r="W14" s="11" t="s">
        <v>71</v>
      </c>
    </row>
    <row r="15" spans="1:23" ht="19.95" customHeight="1">
      <c r="A15" s="3">
        <v>13</v>
      </c>
      <c r="B15" s="4" t="s">
        <v>72</v>
      </c>
      <c r="C15" s="3" t="s">
        <v>25</v>
      </c>
      <c r="D15" s="3" t="s">
        <v>73</v>
      </c>
      <c r="E15" s="3" t="s">
        <v>70</v>
      </c>
      <c r="F15" s="5">
        <v>7</v>
      </c>
      <c r="G15" s="5">
        <v>9</v>
      </c>
      <c r="H15" s="5">
        <v>7</v>
      </c>
      <c r="I15" s="3">
        <f t="shared" si="0"/>
        <v>8</v>
      </c>
      <c r="J15" s="3">
        <f t="shared" si="1"/>
        <v>16</v>
      </c>
      <c r="K15" s="3">
        <f t="shared" si="2"/>
        <v>16</v>
      </c>
      <c r="L15" s="3">
        <f t="shared" si="3"/>
        <v>8</v>
      </c>
      <c r="M15" s="3">
        <f t="shared" si="4"/>
        <v>23</v>
      </c>
      <c r="N15" s="6" t="str">
        <f>IF(COUNTIF(規則與試算!$A$14:$A$46,I15)+COUNTIF(規則與試算!$A$14:$A$46,J15)+COUNTIF(規則與試算!$A$14:$A$46,K15)+COUNTIF(規則與試算!$A$14:$A$46,L15)+COUNTIF(規則與試算!$A$14:$A$46,M15)=5,"全吉","有凶")</f>
        <v>全吉</v>
      </c>
      <c r="O15" s="3" t="str">
        <f>INDEX(規則與試算!$D$14:$D$23,MOD(I15,10)+1)&amp;INDEX(規則與試算!$D$14:$D$23,MOD(J15,10)+1)&amp;INDEX(規則與試算!$D$14:$D$23,MOD(K15,10)+1)</f>
        <v>金土土</v>
      </c>
      <c r="P15" s="3" t="str">
        <f>INDEX(規則與試算!$G$14:$G$38,MATCH(MID(O15,1,1)&amp;MID(O15,2,1),規則與試算!$F$14:$F$38,0))</f>
        <v>生</v>
      </c>
      <c r="Q15" s="3" t="str">
        <f>INDEX(規則與試算!$G$14:$G$38,MATCH(MID(O15,2,1)&amp;MID(O15,3,1),規則與試算!$F$14:$F$38,0))</f>
        <v>比和</v>
      </c>
      <c r="R15" s="6" t="str">
        <f t="shared" si="5"/>
        <v>大吉</v>
      </c>
      <c r="S15" s="3" t="s">
        <v>28</v>
      </c>
      <c r="T15" s="3" t="s">
        <v>28</v>
      </c>
      <c r="U15" s="3" t="s">
        <v>28</v>
      </c>
      <c r="V15" s="3" t="str">
        <f t="shared" si="6"/>
        <v>木木</v>
      </c>
      <c r="W15" s="7" t="s">
        <v>74</v>
      </c>
    </row>
    <row r="16" spans="1:23" ht="19.95" customHeight="1">
      <c r="A16" s="8">
        <v>14</v>
      </c>
      <c r="B16" s="9" t="s">
        <v>75</v>
      </c>
      <c r="C16" s="8" t="s">
        <v>25</v>
      </c>
      <c r="D16" s="8" t="s">
        <v>76</v>
      </c>
      <c r="E16" s="8" t="s">
        <v>77</v>
      </c>
      <c r="F16" s="10">
        <v>7</v>
      </c>
      <c r="G16" s="10">
        <v>9</v>
      </c>
      <c r="H16" s="10">
        <v>7</v>
      </c>
      <c r="I16" s="8">
        <f t="shared" si="0"/>
        <v>8</v>
      </c>
      <c r="J16" s="8">
        <f t="shared" si="1"/>
        <v>16</v>
      </c>
      <c r="K16" s="8">
        <f t="shared" si="2"/>
        <v>16</v>
      </c>
      <c r="L16" s="8">
        <f t="shared" si="3"/>
        <v>8</v>
      </c>
      <c r="M16" s="8">
        <f t="shared" si="4"/>
        <v>23</v>
      </c>
      <c r="N16" s="6" t="str">
        <f>IF(COUNTIF(規則與試算!$A$14:$A$46,I16)+COUNTIF(規則與試算!$A$14:$A$46,J16)+COUNTIF(規則與試算!$A$14:$A$46,K16)+COUNTIF(規則與試算!$A$14:$A$46,L16)+COUNTIF(規則與試算!$A$14:$A$46,M16)=5,"全吉","有凶")</f>
        <v>全吉</v>
      </c>
      <c r="O16" s="8" t="str">
        <f>INDEX(規則與試算!$D$14:$D$23,MOD(I16,10)+1)&amp;INDEX(規則與試算!$D$14:$D$23,MOD(J16,10)+1)&amp;INDEX(規則與試算!$D$14:$D$23,MOD(K16,10)+1)</f>
        <v>金土土</v>
      </c>
      <c r="P16" s="8" t="str">
        <f>INDEX(規則與試算!$G$14:$G$38,MATCH(MID(O16,1,1)&amp;MID(O16,2,1),規則與試算!$F$14:$F$38,0))</f>
        <v>生</v>
      </c>
      <c r="Q16" s="8" t="str">
        <f>INDEX(規則與試算!$G$14:$G$38,MATCH(MID(O16,2,1)&amp;MID(O16,3,1),規則與試算!$F$14:$F$38,0))</f>
        <v>比和</v>
      </c>
      <c r="R16" s="6" t="str">
        <f t="shared" si="5"/>
        <v>大吉</v>
      </c>
      <c r="S16" s="8" t="s">
        <v>28</v>
      </c>
      <c r="T16" s="8" t="s">
        <v>28</v>
      </c>
      <c r="U16" s="8" t="s">
        <v>39</v>
      </c>
      <c r="V16" s="8" t="str">
        <f t="shared" si="6"/>
        <v>木土</v>
      </c>
      <c r="W16" s="11" t="s">
        <v>78</v>
      </c>
    </row>
    <row r="17" spans="1:23" ht="19.95" customHeight="1">
      <c r="A17" s="3">
        <v>15</v>
      </c>
      <c r="B17" s="4" t="s">
        <v>79</v>
      </c>
      <c r="C17" s="3" t="s">
        <v>25</v>
      </c>
      <c r="D17" s="3" t="s">
        <v>80</v>
      </c>
      <c r="E17" s="3" t="s">
        <v>81</v>
      </c>
      <c r="F17" s="5">
        <v>7</v>
      </c>
      <c r="G17" s="5">
        <v>9</v>
      </c>
      <c r="H17" s="5">
        <v>7</v>
      </c>
      <c r="I17" s="3">
        <f t="shared" si="0"/>
        <v>8</v>
      </c>
      <c r="J17" s="3">
        <f t="shared" si="1"/>
        <v>16</v>
      </c>
      <c r="K17" s="3">
        <f t="shared" si="2"/>
        <v>16</v>
      </c>
      <c r="L17" s="3">
        <f t="shared" si="3"/>
        <v>8</v>
      </c>
      <c r="M17" s="3">
        <f t="shared" si="4"/>
        <v>23</v>
      </c>
      <c r="N17" s="6" t="str">
        <f>IF(COUNTIF(規則與試算!$A$14:$A$46,I17)+COUNTIF(規則與試算!$A$14:$A$46,J17)+COUNTIF(規則與試算!$A$14:$A$46,K17)+COUNTIF(規則與試算!$A$14:$A$46,L17)+COUNTIF(規則與試算!$A$14:$A$46,M17)=5,"全吉","有凶")</f>
        <v>全吉</v>
      </c>
      <c r="O17" s="3" t="str">
        <f>INDEX(規則與試算!$D$14:$D$23,MOD(I17,10)+1)&amp;INDEX(規則與試算!$D$14:$D$23,MOD(J17,10)+1)&amp;INDEX(規則與試算!$D$14:$D$23,MOD(K17,10)+1)</f>
        <v>金土土</v>
      </c>
      <c r="P17" s="3" t="str">
        <f>INDEX(規則與試算!$G$14:$G$38,MATCH(MID(O17,1,1)&amp;MID(O17,2,1),規則與試算!$F$14:$F$38,0))</f>
        <v>生</v>
      </c>
      <c r="Q17" s="3" t="str">
        <f>INDEX(規則與試算!$G$14:$G$38,MATCH(MID(O17,2,1)&amp;MID(O17,3,1),規則與試算!$F$14:$F$38,0))</f>
        <v>比和</v>
      </c>
      <c r="R17" s="6" t="str">
        <f t="shared" si="5"/>
        <v>大吉</v>
      </c>
      <c r="S17" s="3" t="s">
        <v>28</v>
      </c>
      <c r="T17" s="3" t="s">
        <v>28</v>
      </c>
      <c r="U17" s="3" t="s">
        <v>34</v>
      </c>
      <c r="V17" s="3" t="str">
        <f t="shared" si="6"/>
        <v>木金</v>
      </c>
      <c r="W17" s="7" t="s">
        <v>82</v>
      </c>
    </row>
    <row r="18" spans="1:23" ht="19.95" customHeight="1">
      <c r="A18" s="8">
        <v>16</v>
      </c>
      <c r="B18" s="9" t="s">
        <v>83</v>
      </c>
      <c r="C18" s="8" t="s">
        <v>25</v>
      </c>
      <c r="D18" s="8" t="s">
        <v>84</v>
      </c>
      <c r="E18" s="8" t="s">
        <v>70</v>
      </c>
      <c r="F18" s="10">
        <v>7</v>
      </c>
      <c r="G18" s="10">
        <v>9</v>
      </c>
      <c r="H18" s="10">
        <v>7</v>
      </c>
      <c r="I18" s="8">
        <f t="shared" si="0"/>
        <v>8</v>
      </c>
      <c r="J18" s="8">
        <f t="shared" si="1"/>
        <v>16</v>
      </c>
      <c r="K18" s="8">
        <f t="shared" si="2"/>
        <v>16</v>
      </c>
      <c r="L18" s="8">
        <f t="shared" si="3"/>
        <v>8</v>
      </c>
      <c r="M18" s="8">
        <f t="shared" si="4"/>
        <v>23</v>
      </c>
      <c r="N18" s="6" t="str">
        <f>IF(COUNTIF(規則與試算!$A$14:$A$46,I18)+COUNTIF(規則與試算!$A$14:$A$46,J18)+COUNTIF(規則與試算!$A$14:$A$46,K18)+COUNTIF(規則與試算!$A$14:$A$46,L18)+COUNTIF(規則與試算!$A$14:$A$46,M18)=5,"全吉","有凶")</f>
        <v>全吉</v>
      </c>
      <c r="O18" s="8" t="str">
        <f>INDEX(規則與試算!$D$14:$D$23,MOD(I18,10)+1)&amp;INDEX(規則與試算!$D$14:$D$23,MOD(J18,10)+1)&amp;INDEX(規則與試算!$D$14:$D$23,MOD(K18,10)+1)</f>
        <v>金土土</v>
      </c>
      <c r="P18" s="8" t="str">
        <f>INDEX(規則與試算!$G$14:$G$38,MATCH(MID(O18,1,1)&amp;MID(O18,2,1),規則與試算!$F$14:$F$38,0))</f>
        <v>生</v>
      </c>
      <c r="Q18" s="8" t="str">
        <f>INDEX(規則與試算!$G$14:$G$38,MATCH(MID(O18,2,1)&amp;MID(O18,3,1),規則與試算!$F$14:$F$38,0))</f>
        <v>比和</v>
      </c>
      <c r="R18" s="6" t="str">
        <f t="shared" si="5"/>
        <v>大吉</v>
      </c>
      <c r="S18" s="8" t="s">
        <v>28</v>
      </c>
      <c r="T18" s="8" t="s">
        <v>34</v>
      </c>
      <c r="U18" s="8" t="s">
        <v>28</v>
      </c>
      <c r="V18" s="8" t="str">
        <f t="shared" si="6"/>
        <v>金木</v>
      </c>
      <c r="W18" s="11" t="s">
        <v>85</v>
      </c>
    </row>
    <row r="19" spans="1:23" ht="19.95" customHeight="1">
      <c r="A19" s="3">
        <v>17</v>
      </c>
      <c r="B19" s="4" t="s">
        <v>86</v>
      </c>
      <c r="C19" s="3" t="s">
        <v>25</v>
      </c>
      <c r="D19" s="3" t="s">
        <v>76</v>
      </c>
      <c r="E19" s="3" t="s">
        <v>87</v>
      </c>
      <c r="F19" s="5">
        <v>7</v>
      </c>
      <c r="G19" s="5">
        <v>9</v>
      </c>
      <c r="H19" s="5">
        <v>15</v>
      </c>
      <c r="I19" s="3">
        <f t="shared" si="0"/>
        <v>8</v>
      </c>
      <c r="J19" s="3">
        <f t="shared" si="1"/>
        <v>16</v>
      </c>
      <c r="K19" s="3">
        <f t="shared" si="2"/>
        <v>24</v>
      </c>
      <c r="L19" s="3">
        <f t="shared" si="3"/>
        <v>16</v>
      </c>
      <c r="M19" s="3">
        <f t="shared" si="4"/>
        <v>31</v>
      </c>
      <c r="N19" s="6" t="str">
        <f>IF(COUNTIF(規則與試算!$A$14:$A$46,I19)+COUNTIF(規則與試算!$A$14:$A$46,J19)+COUNTIF(規則與試算!$A$14:$A$46,K19)+COUNTIF(規則與試算!$A$14:$A$46,L19)+COUNTIF(規則與試算!$A$14:$A$46,M19)=5,"全吉","有凶")</f>
        <v>全吉</v>
      </c>
      <c r="O19" s="3" t="str">
        <f>INDEX(規則與試算!$D$14:$D$23,MOD(I19,10)+1)&amp;INDEX(規則與試算!$D$14:$D$23,MOD(J19,10)+1)&amp;INDEX(規則與試算!$D$14:$D$23,MOD(K19,10)+1)</f>
        <v>金土火</v>
      </c>
      <c r="P19" s="3" t="str">
        <f>INDEX(規則與試算!$G$14:$G$38,MATCH(MID(O19,1,1)&amp;MID(O19,2,1),規則與試算!$F$14:$F$38,0))</f>
        <v>生</v>
      </c>
      <c r="Q19" s="3" t="str">
        <f>INDEX(規則與試算!$G$14:$G$38,MATCH(MID(O19,2,1)&amp;MID(O19,3,1),規則與試算!$F$14:$F$38,0))</f>
        <v>生</v>
      </c>
      <c r="R19" s="6" t="str">
        <f t="shared" si="5"/>
        <v>大吉</v>
      </c>
      <c r="S19" s="3" t="s">
        <v>28</v>
      </c>
      <c r="T19" s="3" t="s">
        <v>28</v>
      </c>
      <c r="U19" s="3" t="s">
        <v>51</v>
      </c>
      <c r="V19" s="3" t="str">
        <f t="shared" si="6"/>
        <v>木水</v>
      </c>
      <c r="W19" s="7" t="s">
        <v>88</v>
      </c>
    </row>
    <row r="20" spans="1:23" ht="19.95" customHeight="1">
      <c r="A20" s="8">
        <v>18</v>
      </c>
      <c r="B20" s="9" t="s">
        <v>89</v>
      </c>
      <c r="C20" s="8" t="s">
        <v>25</v>
      </c>
      <c r="D20" s="8" t="s">
        <v>90</v>
      </c>
      <c r="E20" s="8" t="s">
        <v>91</v>
      </c>
      <c r="F20" s="10">
        <v>7</v>
      </c>
      <c r="G20" s="10">
        <v>9</v>
      </c>
      <c r="H20" s="10">
        <v>15</v>
      </c>
      <c r="I20" s="8">
        <f t="shared" si="0"/>
        <v>8</v>
      </c>
      <c r="J20" s="8">
        <f t="shared" si="1"/>
        <v>16</v>
      </c>
      <c r="K20" s="8">
        <f t="shared" si="2"/>
        <v>24</v>
      </c>
      <c r="L20" s="8">
        <f t="shared" si="3"/>
        <v>16</v>
      </c>
      <c r="M20" s="8">
        <f t="shared" si="4"/>
        <v>31</v>
      </c>
      <c r="N20" s="6" t="str">
        <f>IF(COUNTIF(規則與試算!$A$14:$A$46,I20)+COUNTIF(規則與試算!$A$14:$A$46,J20)+COUNTIF(規則與試算!$A$14:$A$46,K20)+COUNTIF(規則與試算!$A$14:$A$46,L20)+COUNTIF(規則與試算!$A$14:$A$46,M20)=5,"全吉","有凶")</f>
        <v>全吉</v>
      </c>
      <c r="O20" s="8" t="str">
        <f>INDEX(規則與試算!$D$14:$D$23,MOD(I20,10)+1)&amp;INDEX(規則與試算!$D$14:$D$23,MOD(J20,10)+1)&amp;INDEX(規則與試算!$D$14:$D$23,MOD(K20,10)+1)</f>
        <v>金土火</v>
      </c>
      <c r="P20" s="8" t="str">
        <f>INDEX(規則與試算!$G$14:$G$38,MATCH(MID(O20,1,1)&amp;MID(O20,2,1),規則與試算!$F$14:$F$38,0))</f>
        <v>生</v>
      </c>
      <c r="Q20" s="8" t="str">
        <f>INDEX(規則與試算!$G$14:$G$38,MATCH(MID(O20,2,1)&amp;MID(O20,3,1),規則與試算!$F$14:$F$38,0))</f>
        <v>生</v>
      </c>
      <c r="R20" s="6" t="str">
        <f t="shared" si="5"/>
        <v>大吉</v>
      </c>
      <c r="S20" s="8" t="s">
        <v>28</v>
      </c>
      <c r="T20" s="8" t="s">
        <v>29</v>
      </c>
      <c r="U20" s="8" t="s">
        <v>34</v>
      </c>
      <c r="V20" s="8" t="str">
        <f t="shared" si="6"/>
        <v>火金</v>
      </c>
      <c r="W20" s="11" t="s">
        <v>92</v>
      </c>
    </row>
    <row r="21" spans="1:23" ht="19.95" customHeight="1">
      <c r="A21" s="3">
        <v>19</v>
      </c>
      <c r="B21" s="4" t="s">
        <v>93</v>
      </c>
      <c r="C21" s="3" t="s">
        <v>25</v>
      </c>
      <c r="D21" s="3" t="s">
        <v>94</v>
      </c>
      <c r="E21" s="3" t="s">
        <v>95</v>
      </c>
      <c r="F21" s="5">
        <v>7</v>
      </c>
      <c r="G21" s="5">
        <v>9</v>
      </c>
      <c r="H21" s="5">
        <v>15</v>
      </c>
      <c r="I21" s="3">
        <f t="shared" si="0"/>
        <v>8</v>
      </c>
      <c r="J21" s="3">
        <f t="shared" si="1"/>
        <v>16</v>
      </c>
      <c r="K21" s="3">
        <f t="shared" si="2"/>
        <v>24</v>
      </c>
      <c r="L21" s="3">
        <f t="shared" si="3"/>
        <v>16</v>
      </c>
      <c r="M21" s="3">
        <f t="shared" si="4"/>
        <v>31</v>
      </c>
      <c r="N21" s="6" t="str">
        <f>IF(COUNTIF(規則與試算!$A$14:$A$46,I21)+COUNTIF(規則與試算!$A$14:$A$46,J21)+COUNTIF(規則與試算!$A$14:$A$46,K21)+COUNTIF(規則與試算!$A$14:$A$46,L21)+COUNTIF(規則與試算!$A$14:$A$46,M21)=5,"全吉","有凶")</f>
        <v>全吉</v>
      </c>
      <c r="O21" s="3" t="str">
        <f>INDEX(規則與試算!$D$14:$D$23,MOD(I21,10)+1)&amp;INDEX(規則與試算!$D$14:$D$23,MOD(J21,10)+1)&amp;INDEX(規則與試算!$D$14:$D$23,MOD(K21,10)+1)</f>
        <v>金土火</v>
      </c>
      <c r="P21" s="3" t="str">
        <f>INDEX(規則與試算!$G$14:$G$38,MATCH(MID(O21,1,1)&amp;MID(O21,2,1),規則與試算!$F$14:$F$38,0))</f>
        <v>生</v>
      </c>
      <c r="Q21" s="3" t="str">
        <f>INDEX(規則與試算!$G$14:$G$38,MATCH(MID(O21,2,1)&amp;MID(O21,3,1),規則與試算!$F$14:$F$38,0))</f>
        <v>生</v>
      </c>
      <c r="R21" s="6" t="str">
        <f t="shared" si="5"/>
        <v>大吉</v>
      </c>
      <c r="S21" s="3" t="s">
        <v>28</v>
      </c>
      <c r="T21" s="3" t="s">
        <v>28</v>
      </c>
      <c r="U21" s="3" t="s">
        <v>39</v>
      </c>
      <c r="V21" s="3" t="str">
        <f t="shared" si="6"/>
        <v>木土</v>
      </c>
      <c r="W21" s="7" t="s">
        <v>96</v>
      </c>
    </row>
    <row r="22" spans="1:23" ht="19.95" customHeight="1">
      <c r="A22" s="8">
        <v>20</v>
      </c>
      <c r="B22" s="9" t="s">
        <v>97</v>
      </c>
      <c r="C22" s="8" t="s">
        <v>25</v>
      </c>
      <c r="D22" s="8" t="s">
        <v>76</v>
      </c>
      <c r="E22" s="8" t="s">
        <v>50</v>
      </c>
      <c r="F22" s="10">
        <v>7</v>
      </c>
      <c r="G22" s="10">
        <v>9</v>
      </c>
      <c r="H22" s="10">
        <v>16</v>
      </c>
      <c r="I22" s="8">
        <f t="shared" si="0"/>
        <v>8</v>
      </c>
      <c r="J22" s="8">
        <f t="shared" si="1"/>
        <v>16</v>
      </c>
      <c r="K22" s="8">
        <f t="shared" si="2"/>
        <v>25</v>
      </c>
      <c r="L22" s="8">
        <f t="shared" si="3"/>
        <v>17</v>
      </c>
      <c r="M22" s="8">
        <f t="shared" si="4"/>
        <v>32</v>
      </c>
      <c r="N22" s="6" t="str">
        <f>IF(COUNTIF(規則與試算!$A$14:$A$46,I22)+COUNTIF(規則與試算!$A$14:$A$46,J22)+COUNTIF(規則與試算!$A$14:$A$46,K22)+COUNTIF(規則與試算!$A$14:$A$46,L22)+COUNTIF(規則與試算!$A$14:$A$46,M22)=5,"全吉","有凶")</f>
        <v>全吉</v>
      </c>
      <c r="O22" s="8" t="str">
        <f>INDEX(規則與試算!$D$14:$D$23,MOD(I22,10)+1)&amp;INDEX(規則與試算!$D$14:$D$23,MOD(J22,10)+1)&amp;INDEX(規則與試算!$D$14:$D$23,MOD(K22,10)+1)</f>
        <v>金土土</v>
      </c>
      <c r="P22" s="8" t="str">
        <f>INDEX(規則與試算!$G$14:$G$38,MATCH(MID(O22,1,1)&amp;MID(O22,2,1),規則與試算!$F$14:$F$38,0))</f>
        <v>生</v>
      </c>
      <c r="Q22" s="8" t="str">
        <f>INDEX(規則與試算!$G$14:$G$38,MATCH(MID(O22,2,1)&amp;MID(O22,3,1),規則與試算!$F$14:$F$38,0))</f>
        <v>比和</v>
      </c>
      <c r="R22" s="6" t="str">
        <f t="shared" si="5"/>
        <v>大吉</v>
      </c>
      <c r="S22" s="8" t="s">
        <v>28</v>
      </c>
      <c r="T22" s="8" t="s">
        <v>28</v>
      </c>
      <c r="U22" s="8" t="s">
        <v>51</v>
      </c>
      <c r="V22" s="8" t="str">
        <f t="shared" si="6"/>
        <v>木水</v>
      </c>
      <c r="W22" s="11" t="s">
        <v>98</v>
      </c>
    </row>
    <row r="23" spans="1:23" ht="19.95" customHeight="1">
      <c r="A23" s="3">
        <v>21</v>
      </c>
      <c r="B23" s="4" t="s">
        <v>99</v>
      </c>
      <c r="C23" s="3" t="s">
        <v>25</v>
      </c>
      <c r="D23" s="3" t="s">
        <v>69</v>
      </c>
      <c r="E23" s="3" t="s">
        <v>57</v>
      </c>
      <c r="F23" s="5">
        <v>7</v>
      </c>
      <c r="G23" s="5">
        <v>9</v>
      </c>
      <c r="H23" s="5">
        <v>16</v>
      </c>
      <c r="I23" s="3">
        <f t="shared" si="0"/>
        <v>8</v>
      </c>
      <c r="J23" s="3">
        <f t="shared" si="1"/>
        <v>16</v>
      </c>
      <c r="K23" s="3">
        <f t="shared" si="2"/>
        <v>25</v>
      </c>
      <c r="L23" s="3">
        <f t="shared" si="3"/>
        <v>17</v>
      </c>
      <c r="M23" s="3">
        <f t="shared" si="4"/>
        <v>32</v>
      </c>
      <c r="N23" s="6" t="str">
        <f>IF(COUNTIF(規則與試算!$A$14:$A$46,I23)+COUNTIF(規則與試算!$A$14:$A$46,J23)+COUNTIF(規則與試算!$A$14:$A$46,K23)+COUNTIF(規則與試算!$A$14:$A$46,L23)+COUNTIF(規則與試算!$A$14:$A$46,M23)=5,"全吉","有凶")</f>
        <v>全吉</v>
      </c>
      <c r="O23" s="3" t="str">
        <f>INDEX(規則與試算!$D$14:$D$23,MOD(I23,10)+1)&amp;INDEX(規則與試算!$D$14:$D$23,MOD(J23,10)+1)&amp;INDEX(規則與試算!$D$14:$D$23,MOD(K23,10)+1)</f>
        <v>金土土</v>
      </c>
      <c r="P23" s="3" t="str">
        <f>INDEX(規則與試算!$G$14:$G$38,MATCH(MID(O23,1,1)&amp;MID(O23,2,1),規則與試算!$F$14:$F$38,0))</f>
        <v>生</v>
      </c>
      <c r="Q23" s="3" t="str">
        <f>INDEX(規則與試算!$G$14:$G$38,MATCH(MID(O23,2,1)&amp;MID(O23,3,1),規則與試算!$F$14:$F$38,0))</f>
        <v>比和</v>
      </c>
      <c r="R23" s="6" t="str">
        <f t="shared" si="5"/>
        <v>大吉</v>
      </c>
      <c r="S23" s="3" t="s">
        <v>28</v>
      </c>
      <c r="T23" s="3" t="s">
        <v>34</v>
      </c>
      <c r="U23" s="3" t="s">
        <v>51</v>
      </c>
      <c r="V23" s="3" t="str">
        <f t="shared" si="6"/>
        <v>金水</v>
      </c>
      <c r="W23" s="7" t="s">
        <v>100</v>
      </c>
    </row>
    <row r="24" spans="1:23" ht="19.95" customHeight="1">
      <c r="A24" s="8">
        <v>22</v>
      </c>
      <c r="B24" s="9" t="s">
        <v>101</v>
      </c>
      <c r="C24" s="8" t="s">
        <v>25</v>
      </c>
      <c r="D24" s="8" t="s">
        <v>80</v>
      </c>
      <c r="E24" s="8" t="s">
        <v>54</v>
      </c>
      <c r="F24" s="10">
        <v>7</v>
      </c>
      <c r="G24" s="10">
        <v>9</v>
      </c>
      <c r="H24" s="10">
        <v>16</v>
      </c>
      <c r="I24" s="8">
        <f t="shared" si="0"/>
        <v>8</v>
      </c>
      <c r="J24" s="8">
        <f t="shared" si="1"/>
        <v>16</v>
      </c>
      <c r="K24" s="8">
        <f t="shared" si="2"/>
        <v>25</v>
      </c>
      <c r="L24" s="8">
        <f t="shared" si="3"/>
        <v>17</v>
      </c>
      <c r="M24" s="8">
        <f t="shared" si="4"/>
        <v>32</v>
      </c>
      <c r="N24" s="6" t="str">
        <f>IF(COUNTIF(規則與試算!$A$14:$A$46,I24)+COUNTIF(規則與試算!$A$14:$A$46,J24)+COUNTIF(規則與試算!$A$14:$A$46,K24)+COUNTIF(規則與試算!$A$14:$A$46,L24)+COUNTIF(規則與試算!$A$14:$A$46,M24)=5,"全吉","有凶")</f>
        <v>全吉</v>
      </c>
      <c r="O24" s="8" t="str">
        <f>INDEX(規則與試算!$D$14:$D$23,MOD(I24,10)+1)&amp;INDEX(規則與試算!$D$14:$D$23,MOD(J24,10)+1)&amp;INDEX(規則與試算!$D$14:$D$23,MOD(K24,10)+1)</f>
        <v>金土土</v>
      </c>
      <c r="P24" s="8" t="str">
        <f>INDEX(規則與試算!$G$14:$G$38,MATCH(MID(O24,1,1)&amp;MID(O24,2,1),規則與試算!$F$14:$F$38,0))</f>
        <v>生</v>
      </c>
      <c r="Q24" s="8" t="str">
        <f>INDEX(規則與試算!$G$14:$G$38,MATCH(MID(O24,2,1)&amp;MID(O24,3,1),規則與試算!$F$14:$F$38,0))</f>
        <v>比和</v>
      </c>
      <c r="R24" s="6" t="str">
        <f t="shared" si="5"/>
        <v>大吉</v>
      </c>
      <c r="S24" s="8" t="s">
        <v>28</v>
      </c>
      <c r="T24" s="8" t="s">
        <v>28</v>
      </c>
      <c r="U24" s="8" t="s">
        <v>34</v>
      </c>
      <c r="V24" s="8" t="str">
        <f t="shared" si="6"/>
        <v>木金</v>
      </c>
      <c r="W24" s="11" t="s">
        <v>102</v>
      </c>
    </row>
    <row r="25" spans="1:23" ht="19.95" customHeight="1">
      <c r="A25" s="3">
        <v>23</v>
      </c>
      <c r="B25" s="4" t="s">
        <v>103</v>
      </c>
      <c r="C25" s="3" t="s">
        <v>25</v>
      </c>
      <c r="D25" s="3" t="s">
        <v>73</v>
      </c>
      <c r="E25" s="3" t="s">
        <v>57</v>
      </c>
      <c r="F25" s="5">
        <v>7</v>
      </c>
      <c r="G25" s="5">
        <v>9</v>
      </c>
      <c r="H25" s="5">
        <v>16</v>
      </c>
      <c r="I25" s="3">
        <f t="shared" si="0"/>
        <v>8</v>
      </c>
      <c r="J25" s="3">
        <f t="shared" si="1"/>
        <v>16</v>
      </c>
      <c r="K25" s="3">
        <f t="shared" si="2"/>
        <v>25</v>
      </c>
      <c r="L25" s="3">
        <f t="shared" si="3"/>
        <v>17</v>
      </c>
      <c r="M25" s="3">
        <f t="shared" si="4"/>
        <v>32</v>
      </c>
      <c r="N25" s="6" t="str">
        <f>IF(COUNTIF(規則與試算!$A$14:$A$46,I25)+COUNTIF(規則與試算!$A$14:$A$46,J25)+COUNTIF(規則與試算!$A$14:$A$46,K25)+COUNTIF(規則與試算!$A$14:$A$46,L25)+COUNTIF(規則與試算!$A$14:$A$46,M25)=5,"全吉","有凶")</f>
        <v>全吉</v>
      </c>
      <c r="O25" s="3" t="str">
        <f>INDEX(規則與試算!$D$14:$D$23,MOD(I25,10)+1)&amp;INDEX(規則與試算!$D$14:$D$23,MOD(J25,10)+1)&amp;INDEX(規則與試算!$D$14:$D$23,MOD(K25,10)+1)</f>
        <v>金土土</v>
      </c>
      <c r="P25" s="3" t="str">
        <f>INDEX(規則與試算!$G$14:$G$38,MATCH(MID(O25,1,1)&amp;MID(O25,2,1),規則與試算!$F$14:$F$38,0))</f>
        <v>生</v>
      </c>
      <c r="Q25" s="3" t="str">
        <f>INDEX(規則與試算!$G$14:$G$38,MATCH(MID(O25,2,1)&amp;MID(O25,3,1),規則與試算!$F$14:$F$38,0))</f>
        <v>比和</v>
      </c>
      <c r="R25" s="6" t="str">
        <f t="shared" si="5"/>
        <v>大吉</v>
      </c>
      <c r="S25" s="3" t="s">
        <v>28</v>
      </c>
      <c r="T25" s="3" t="s">
        <v>28</v>
      </c>
      <c r="U25" s="3" t="s">
        <v>51</v>
      </c>
      <c r="V25" s="3" t="str">
        <f t="shared" si="6"/>
        <v>木水</v>
      </c>
      <c r="W25" s="7" t="s">
        <v>104</v>
      </c>
    </row>
    <row r="26" spans="1:23" ht="19.95" customHeight="1">
      <c r="A26" s="8">
        <v>24</v>
      </c>
      <c r="B26" s="9" t="s">
        <v>105</v>
      </c>
      <c r="C26" s="8" t="s">
        <v>25</v>
      </c>
      <c r="D26" s="8" t="s">
        <v>27</v>
      </c>
      <c r="E26" s="8" t="s">
        <v>106</v>
      </c>
      <c r="F26" s="10">
        <v>7</v>
      </c>
      <c r="G26" s="10">
        <v>10</v>
      </c>
      <c r="H26" s="10">
        <v>6</v>
      </c>
      <c r="I26" s="8">
        <f t="shared" si="0"/>
        <v>8</v>
      </c>
      <c r="J26" s="8">
        <f t="shared" si="1"/>
        <v>17</v>
      </c>
      <c r="K26" s="8">
        <f t="shared" si="2"/>
        <v>16</v>
      </c>
      <c r="L26" s="8">
        <f t="shared" si="3"/>
        <v>7</v>
      </c>
      <c r="M26" s="8">
        <f t="shared" si="4"/>
        <v>23</v>
      </c>
      <c r="N26" s="6" t="str">
        <f>IF(COUNTIF(規則與試算!$A$14:$A$46,I26)+COUNTIF(規則與試算!$A$14:$A$46,J26)+COUNTIF(規則與試算!$A$14:$A$46,K26)+COUNTIF(規則與試算!$A$14:$A$46,L26)+COUNTIF(規則與試算!$A$14:$A$46,M26)=5,"全吉","有凶")</f>
        <v>全吉</v>
      </c>
      <c r="O26" s="8" t="str">
        <f>INDEX(規則與試算!$D$14:$D$23,MOD(I26,10)+1)&amp;INDEX(規則與試算!$D$14:$D$23,MOD(J26,10)+1)&amp;INDEX(規則與試算!$D$14:$D$23,MOD(K26,10)+1)</f>
        <v>金金土</v>
      </c>
      <c r="P26" s="8" t="str">
        <f>INDEX(規則與試算!$G$14:$G$38,MATCH(MID(O26,1,1)&amp;MID(O26,2,1),規則與試算!$F$14:$F$38,0))</f>
        <v>比和</v>
      </c>
      <c r="Q26" s="8" t="str">
        <f>INDEX(規則與試算!$G$14:$G$38,MATCH(MID(O26,2,1)&amp;MID(O26,3,1),規則與試算!$F$14:$F$38,0))</f>
        <v>生</v>
      </c>
      <c r="R26" s="6" t="str">
        <f t="shared" si="5"/>
        <v>大吉</v>
      </c>
      <c r="S26" s="8" t="s">
        <v>28</v>
      </c>
      <c r="T26" s="8" t="s">
        <v>29</v>
      </c>
      <c r="U26" s="8" t="s">
        <v>39</v>
      </c>
      <c r="V26" s="8" t="str">
        <f t="shared" si="6"/>
        <v>火土</v>
      </c>
      <c r="W26" s="11" t="s">
        <v>107</v>
      </c>
    </row>
    <row r="27" spans="1:23" ht="19.95" customHeight="1">
      <c r="A27" s="3">
        <v>25</v>
      </c>
      <c r="B27" s="4" t="s">
        <v>108</v>
      </c>
      <c r="C27" s="3" t="s">
        <v>25</v>
      </c>
      <c r="D27" s="3" t="s">
        <v>33</v>
      </c>
      <c r="E27" s="3" t="s">
        <v>106</v>
      </c>
      <c r="F27" s="5">
        <v>7</v>
      </c>
      <c r="G27" s="5">
        <v>10</v>
      </c>
      <c r="H27" s="5">
        <v>6</v>
      </c>
      <c r="I27" s="3">
        <f t="shared" si="0"/>
        <v>8</v>
      </c>
      <c r="J27" s="3">
        <f t="shared" si="1"/>
        <v>17</v>
      </c>
      <c r="K27" s="3">
        <f t="shared" si="2"/>
        <v>16</v>
      </c>
      <c r="L27" s="3">
        <f t="shared" si="3"/>
        <v>7</v>
      </c>
      <c r="M27" s="3">
        <f t="shared" si="4"/>
        <v>23</v>
      </c>
      <c r="N27" s="6" t="str">
        <f>IF(COUNTIF(規則與試算!$A$14:$A$46,I27)+COUNTIF(規則與試算!$A$14:$A$46,J27)+COUNTIF(規則與試算!$A$14:$A$46,K27)+COUNTIF(規則與試算!$A$14:$A$46,L27)+COUNTIF(規則與試算!$A$14:$A$46,M27)=5,"全吉","有凶")</f>
        <v>全吉</v>
      </c>
      <c r="O27" s="3" t="str">
        <f>INDEX(規則與試算!$D$14:$D$23,MOD(I27,10)+1)&amp;INDEX(規則與試算!$D$14:$D$23,MOD(J27,10)+1)&amp;INDEX(規則與試算!$D$14:$D$23,MOD(K27,10)+1)</f>
        <v>金金土</v>
      </c>
      <c r="P27" s="3" t="str">
        <f>INDEX(規則與試算!$G$14:$G$38,MATCH(MID(O27,1,1)&amp;MID(O27,2,1),規則與試算!$F$14:$F$38,0))</f>
        <v>比和</v>
      </c>
      <c r="Q27" s="3" t="str">
        <f>INDEX(規則與試算!$G$14:$G$38,MATCH(MID(O27,2,1)&amp;MID(O27,3,1),規則與試算!$F$14:$F$38,0))</f>
        <v>生</v>
      </c>
      <c r="R27" s="6" t="str">
        <f t="shared" si="5"/>
        <v>大吉</v>
      </c>
      <c r="S27" s="3" t="s">
        <v>28</v>
      </c>
      <c r="T27" s="3" t="s">
        <v>29</v>
      </c>
      <c r="U27" s="3" t="s">
        <v>39</v>
      </c>
      <c r="V27" s="3" t="str">
        <f t="shared" si="6"/>
        <v>火土</v>
      </c>
      <c r="W27" s="7" t="s">
        <v>109</v>
      </c>
    </row>
    <row r="28" spans="1:23" ht="19.95" customHeight="1">
      <c r="A28" s="8">
        <v>26</v>
      </c>
      <c r="B28" s="9" t="s">
        <v>110</v>
      </c>
      <c r="C28" s="8" t="s">
        <v>25</v>
      </c>
      <c r="D28" s="8" t="s">
        <v>111</v>
      </c>
      <c r="E28" s="8" t="s">
        <v>106</v>
      </c>
      <c r="F28" s="10">
        <v>7</v>
      </c>
      <c r="G28" s="10">
        <v>10</v>
      </c>
      <c r="H28" s="10">
        <v>6</v>
      </c>
      <c r="I28" s="8">
        <f t="shared" si="0"/>
        <v>8</v>
      </c>
      <c r="J28" s="8">
        <f t="shared" si="1"/>
        <v>17</v>
      </c>
      <c r="K28" s="8">
        <f t="shared" si="2"/>
        <v>16</v>
      </c>
      <c r="L28" s="8">
        <f t="shared" si="3"/>
        <v>7</v>
      </c>
      <c r="M28" s="8">
        <f t="shared" si="4"/>
        <v>23</v>
      </c>
      <c r="N28" s="6" t="str">
        <f>IF(COUNTIF(規則與試算!$A$14:$A$46,I28)+COUNTIF(規則與試算!$A$14:$A$46,J28)+COUNTIF(規則與試算!$A$14:$A$46,K28)+COUNTIF(規則與試算!$A$14:$A$46,L28)+COUNTIF(規則與試算!$A$14:$A$46,M28)=5,"全吉","有凶")</f>
        <v>全吉</v>
      </c>
      <c r="O28" s="8" t="str">
        <f>INDEX(規則與試算!$D$14:$D$23,MOD(I28,10)+1)&amp;INDEX(規則與試算!$D$14:$D$23,MOD(J28,10)+1)&amp;INDEX(規則與試算!$D$14:$D$23,MOD(K28,10)+1)</f>
        <v>金金土</v>
      </c>
      <c r="P28" s="8" t="str">
        <f>INDEX(規則與試算!$G$14:$G$38,MATCH(MID(O28,1,1)&amp;MID(O28,2,1),規則與試算!$F$14:$F$38,0))</f>
        <v>比和</v>
      </c>
      <c r="Q28" s="8" t="str">
        <f>INDEX(規則與試算!$G$14:$G$38,MATCH(MID(O28,2,1)&amp;MID(O28,3,1),規則與試算!$F$14:$F$38,0))</f>
        <v>生</v>
      </c>
      <c r="R28" s="6" t="str">
        <f t="shared" si="5"/>
        <v>大吉</v>
      </c>
      <c r="S28" s="8" t="s">
        <v>28</v>
      </c>
      <c r="T28" s="8" t="s">
        <v>39</v>
      </c>
      <c r="U28" s="8" t="s">
        <v>39</v>
      </c>
      <c r="V28" s="8" t="str">
        <f t="shared" si="6"/>
        <v>土土</v>
      </c>
      <c r="W28" s="11" t="s">
        <v>112</v>
      </c>
    </row>
    <row r="29" spans="1:23" ht="19.95" customHeight="1">
      <c r="A29" s="3">
        <v>27</v>
      </c>
      <c r="B29" s="4" t="s">
        <v>113</v>
      </c>
      <c r="C29" s="3" t="s">
        <v>25</v>
      </c>
      <c r="D29" s="3" t="s">
        <v>38</v>
      </c>
      <c r="E29" s="3" t="s">
        <v>106</v>
      </c>
      <c r="F29" s="5">
        <v>7</v>
      </c>
      <c r="G29" s="5">
        <v>10</v>
      </c>
      <c r="H29" s="5">
        <v>6</v>
      </c>
      <c r="I29" s="3">
        <f t="shared" si="0"/>
        <v>8</v>
      </c>
      <c r="J29" s="3">
        <f t="shared" si="1"/>
        <v>17</v>
      </c>
      <c r="K29" s="3">
        <f t="shared" si="2"/>
        <v>16</v>
      </c>
      <c r="L29" s="3">
        <f t="shared" si="3"/>
        <v>7</v>
      </c>
      <c r="M29" s="3">
        <f t="shared" si="4"/>
        <v>23</v>
      </c>
      <c r="N29" s="6" t="str">
        <f>IF(COUNTIF(規則與試算!$A$14:$A$46,I29)+COUNTIF(規則與試算!$A$14:$A$46,J29)+COUNTIF(規則與試算!$A$14:$A$46,K29)+COUNTIF(規則與試算!$A$14:$A$46,L29)+COUNTIF(規則與試算!$A$14:$A$46,M29)=5,"全吉","有凶")</f>
        <v>全吉</v>
      </c>
      <c r="O29" s="3" t="str">
        <f>INDEX(規則與試算!$D$14:$D$23,MOD(I29,10)+1)&amp;INDEX(規則與試算!$D$14:$D$23,MOD(J29,10)+1)&amp;INDEX(規則與試算!$D$14:$D$23,MOD(K29,10)+1)</f>
        <v>金金土</v>
      </c>
      <c r="P29" s="3" t="str">
        <f>INDEX(規則與試算!$G$14:$G$38,MATCH(MID(O29,1,1)&amp;MID(O29,2,1),規則與試算!$F$14:$F$38,0))</f>
        <v>比和</v>
      </c>
      <c r="Q29" s="3" t="str">
        <f>INDEX(規則與試算!$G$14:$G$38,MATCH(MID(O29,2,1)&amp;MID(O29,3,1),規則與試算!$F$14:$F$38,0))</f>
        <v>生</v>
      </c>
      <c r="R29" s="6" t="str">
        <f t="shared" si="5"/>
        <v>大吉</v>
      </c>
      <c r="S29" s="3" t="s">
        <v>28</v>
      </c>
      <c r="T29" s="3" t="s">
        <v>39</v>
      </c>
      <c r="U29" s="3" t="s">
        <v>39</v>
      </c>
      <c r="V29" s="3" t="str">
        <f t="shared" si="6"/>
        <v>土土</v>
      </c>
      <c r="W29" s="7" t="s">
        <v>114</v>
      </c>
    </row>
    <row r="30" spans="1:23" ht="19.95" customHeight="1">
      <c r="A30" s="8">
        <v>28</v>
      </c>
      <c r="B30" s="9" t="s">
        <v>115</v>
      </c>
      <c r="C30" s="8" t="s">
        <v>25</v>
      </c>
      <c r="D30" s="8" t="s">
        <v>111</v>
      </c>
      <c r="E30" s="8" t="s">
        <v>116</v>
      </c>
      <c r="F30" s="10">
        <v>7</v>
      </c>
      <c r="G30" s="10">
        <v>10</v>
      </c>
      <c r="H30" s="10">
        <v>7</v>
      </c>
      <c r="I30" s="8">
        <f t="shared" si="0"/>
        <v>8</v>
      </c>
      <c r="J30" s="8">
        <f t="shared" si="1"/>
        <v>17</v>
      </c>
      <c r="K30" s="8">
        <f t="shared" si="2"/>
        <v>17</v>
      </c>
      <c r="L30" s="8">
        <f t="shared" si="3"/>
        <v>8</v>
      </c>
      <c r="M30" s="8">
        <f t="shared" si="4"/>
        <v>24</v>
      </c>
      <c r="N30" s="6" t="str">
        <f>IF(COUNTIF(規則與試算!$A$14:$A$46,I30)+COUNTIF(規則與試算!$A$14:$A$46,J30)+COUNTIF(規則與試算!$A$14:$A$46,K30)+COUNTIF(規則與試算!$A$14:$A$46,L30)+COUNTIF(規則與試算!$A$14:$A$46,M30)=5,"全吉","有凶")</f>
        <v>全吉</v>
      </c>
      <c r="O30" s="8" t="str">
        <f>INDEX(規則與試算!$D$14:$D$23,MOD(I30,10)+1)&amp;INDEX(規則與試算!$D$14:$D$23,MOD(J30,10)+1)&amp;INDEX(規則與試算!$D$14:$D$23,MOD(K30,10)+1)</f>
        <v>金金金</v>
      </c>
      <c r="P30" s="8" t="str">
        <f>INDEX(規則與試算!$G$14:$G$38,MATCH(MID(O30,1,1)&amp;MID(O30,2,1),規則與試算!$F$14:$F$38,0))</f>
        <v>比和</v>
      </c>
      <c r="Q30" s="8" t="str">
        <f>INDEX(規則與試算!$G$14:$G$38,MATCH(MID(O30,2,1)&amp;MID(O30,3,1),規則與試算!$F$14:$F$38,0))</f>
        <v>比和</v>
      </c>
      <c r="R30" s="6" t="str">
        <f t="shared" si="5"/>
        <v>大吉</v>
      </c>
      <c r="S30" s="8" t="s">
        <v>28</v>
      </c>
      <c r="T30" s="8" t="s">
        <v>39</v>
      </c>
      <c r="U30" s="8" t="s">
        <v>34</v>
      </c>
      <c r="V30" s="8" t="str">
        <f t="shared" si="6"/>
        <v>土金</v>
      </c>
      <c r="W30" s="11" t="s">
        <v>117</v>
      </c>
    </row>
    <row r="31" spans="1:23" ht="19.95" customHeight="1">
      <c r="A31" s="3">
        <v>29</v>
      </c>
      <c r="B31" s="4" t="s">
        <v>118</v>
      </c>
      <c r="C31" s="3" t="s">
        <v>25</v>
      </c>
      <c r="D31" s="3" t="s">
        <v>27</v>
      </c>
      <c r="E31" s="3" t="s">
        <v>119</v>
      </c>
      <c r="F31" s="5">
        <v>7</v>
      </c>
      <c r="G31" s="5">
        <v>10</v>
      </c>
      <c r="H31" s="5">
        <v>7</v>
      </c>
      <c r="I31" s="3">
        <f t="shared" si="0"/>
        <v>8</v>
      </c>
      <c r="J31" s="3">
        <f t="shared" si="1"/>
        <v>17</v>
      </c>
      <c r="K31" s="3">
        <f t="shared" si="2"/>
        <v>17</v>
      </c>
      <c r="L31" s="3">
        <f t="shared" si="3"/>
        <v>8</v>
      </c>
      <c r="M31" s="3">
        <f t="shared" si="4"/>
        <v>24</v>
      </c>
      <c r="N31" s="6" t="str">
        <f>IF(COUNTIF(規則與試算!$A$14:$A$46,I31)+COUNTIF(規則與試算!$A$14:$A$46,J31)+COUNTIF(規則與試算!$A$14:$A$46,K31)+COUNTIF(規則與試算!$A$14:$A$46,L31)+COUNTIF(規則與試算!$A$14:$A$46,M31)=5,"全吉","有凶")</f>
        <v>全吉</v>
      </c>
      <c r="O31" s="3" t="str">
        <f>INDEX(規則與試算!$D$14:$D$23,MOD(I31,10)+1)&amp;INDEX(規則與試算!$D$14:$D$23,MOD(J31,10)+1)&amp;INDEX(規則與試算!$D$14:$D$23,MOD(K31,10)+1)</f>
        <v>金金金</v>
      </c>
      <c r="P31" s="3" t="str">
        <f>INDEX(規則與試算!$G$14:$G$38,MATCH(MID(O31,1,1)&amp;MID(O31,2,1),規則與試算!$F$14:$F$38,0))</f>
        <v>比和</v>
      </c>
      <c r="Q31" s="3" t="str">
        <f>INDEX(規則與試算!$G$14:$G$38,MATCH(MID(O31,2,1)&amp;MID(O31,3,1),規則與試算!$F$14:$F$38,0))</f>
        <v>比和</v>
      </c>
      <c r="R31" s="6" t="str">
        <f t="shared" si="5"/>
        <v>大吉</v>
      </c>
      <c r="S31" s="3" t="s">
        <v>28</v>
      </c>
      <c r="T31" s="3" t="s">
        <v>29</v>
      </c>
      <c r="U31" s="3" t="s">
        <v>39</v>
      </c>
      <c r="V31" s="3" t="str">
        <f t="shared" si="6"/>
        <v>火土</v>
      </c>
      <c r="W31" s="7" t="s">
        <v>120</v>
      </c>
    </row>
    <row r="32" spans="1:23" ht="19.95" customHeight="1">
      <c r="A32" s="8">
        <v>30</v>
      </c>
      <c r="B32" s="9" t="s">
        <v>121</v>
      </c>
      <c r="C32" s="8" t="s">
        <v>25</v>
      </c>
      <c r="D32" s="8" t="s">
        <v>33</v>
      </c>
      <c r="E32" s="8" t="s">
        <v>122</v>
      </c>
      <c r="F32" s="10">
        <v>7</v>
      </c>
      <c r="G32" s="10">
        <v>10</v>
      </c>
      <c r="H32" s="10">
        <v>7</v>
      </c>
      <c r="I32" s="8">
        <f t="shared" si="0"/>
        <v>8</v>
      </c>
      <c r="J32" s="8">
        <f t="shared" si="1"/>
        <v>17</v>
      </c>
      <c r="K32" s="8">
        <f t="shared" si="2"/>
        <v>17</v>
      </c>
      <c r="L32" s="8">
        <f t="shared" si="3"/>
        <v>8</v>
      </c>
      <c r="M32" s="8">
        <f t="shared" si="4"/>
        <v>24</v>
      </c>
      <c r="N32" s="6" t="str">
        <f>IF(COUNTIF(規則與試算!$A$14:$A$46,I32)+COUNTIF(規則與試算!$A$14:$A$46,J32)+COUNTIF(規則與試算!$A$14:$A$46,K32)+COUNTIF(規則與試算!$A$14:$A$46,L32)+COUNTIF(規則與試算!$A$14:$A$46,M32)=5,"全吉","有凶")</f>
        <v>全吉</v>
      </c>
      <c r="O32" s="8" t="str">
        <f>INDEX(規則與試算!$D$14:$D$23,MOD(I32,10)+1)&amp;INDEX(規則與試算!$D$14:$D$23,MOD(J32,10)+1)&amp;INDEX(規則與試算!$D$14:$D$23,MOD(K32,10)+1)</f>
        <v>金金金</v>
      </c>
      <c r="P32" s="8" t="str">
        <f>INDEX(規則與試算!$G$14:$G$38,MATCH(MID(O32,1,1)&amp;MID(O32,2,1),規則與試算!$F$14:$F$38,0))</f>
        <v>比和</v>
      </c>
      <c r="Q32" s="8" t="str">
        <f>INDEX(規則與試算!$G$14:$G$38,MATCH(MID(O32,2,1)&amp;MID(O32,3,1),規則與試算!$F$14:$F$38,0))</f>
        <v>比和</v>
      </c>
      <c r="R32" s="6" t="str">
        <f t="shared" si="5"/>
        <v>大吉</v>
      </c>
      <c r="S32" s="8" t="s">
        <v>28</v>
      </c>
      <c r="T32" s="8" t="s">
        <v>29</v>
      </c>
      <c r="U32" s="8" t="s">
        <v>34</v>
      </c>
      <c r="V32" s="8" t="str">
        <f t="shared" si="6"/>
        <v>火金</v>
      </c>
      <c r="W32" s="11" t="s">
        <v>123</v>
      </c>
    </row>
    <row r="33" spans="1:23" ht="19.95" customHeight="1">
      <c r="A33" s="3">
        <v>31</v>
      </c>
      <c r="B33" s="4" t="s">
        <v>124</v>
      </c>
      <c r="C33" s="3" t="s">
        <v>25</v>
      </c>
      <c r="D33" s="3" t="s">
        <v>125</v>
      </c>
      <c r="E33" s="3" t="s">
        <v>116</v>
      </c>
      <c r="F33" s="5">
        <v>7</v>
      </c>
      <c r="G33" s="5">
        <v>10</v>
      </c>
      <c r="H33" s="5">
        <v>7</v>
      </c>
      <c r="I33" s="3">
        <f t="shared" si="0"/>
        <v>8</v>
      </c>
      <c r="J33" s="3">
        <f t="shared" si="1"/>
        <v>17</v>
      </c>
      <c r="K33" s="3">
        <f t="shared" si="2"/>
        <v>17</v>
      </c>
      <c r="L33" s="3">
        <f t="shared" si="3"/>
        <v>8</v>
      </c>
      <c r="M33" s="3">
        <f t="shared" si="4"/>
        <v>24</v>
      </c>
      <c r="N33" s="6" t="str">
        <f>IF(COUNTIF(規則與試算!$A$14:$A$46,I33)+COUNTIF(規則與試算!$A$14:$A$46,J33)+COUNTIF(規則與試算!$A$14:$A$46,K33)+COUNTIF(規則與試算!$A$14:$A$46,L33)+COUNTIF(規則與試算!$A$14:$A$46,M33)=5,"全吉","有凶")</f>
        <v>全吉</v>
      </c>
      <c r="O33" s="3" t="str">
        <f>INDEX(規則與試算!$D$14:$D$23,MOD(I33,10)+1)&amp;INDEX(規則與試算!$D$14:$D$23,MOD(J33,10)+1)&amp;INDEX(規則與試算!$D$14:$D$23,MOD(K33,10)+1)</f>
        <v>金金金</v>
      </c>
      <c r="P33" s="3" t="str">
        <f>INDEX(規則與試算!$G$14:$G$38,MATCH(MID(O33,1,1)&amp;MID(O33,2,1),規則與試算!$F$14:$F$38,0))</f>
        <v>比和</v>
      </c>
      <c r="Q33" s="3" t="str">
        <f>INDEX(規則與試算!$G$14:$G$38,MATCH(MID(O33,2,1)&amp;MID(O33,3,1),規則與試算!$F$14:$F$38,0))</f>
        <v>比和</v>
      </c>
      <c r="R33" s="6" t="str">
        <f t="shared" si="5"/>
        <v>大吉</v>
      </c>
      <c r="S33" s="3" t="s">
        <v>28</v>
      </c>
      <c r="T33" s="3" t="s">
        <v>28</v>
      </c>
      <c r="U33" s="3" t="s">
        <v>34</v>
      </c>
      <c r="V33" s="3" t="str">
        <f t="shared" si="6"/>
        <v>木金</v>
      </c>
      <c r="W33" s="7" t="s">
        <v>126</v>
      </c>
    </row>
    <row r="34" spans="1:23" ht="19.95" customHeight="1">
      <c r="A34" s="8">
        <v>32</v>
      </c>
      <c r="B34" s="9" t="s">
        <v>127</v>
      </c>
      <c r="C34" s="8" t="s">
        <v>25</v>
      </c>
      <c r="D34" s="8" t="s">
        <v>27</v>
      </c>
      <c r="E34" s="8" t="s">
        <v>95</v>
      </c>
      <c r="F34" s="10">
        <v>7</v>
      </c>
      <c r="G34" s="10">
        <v>10</v>
      </c>
      <c r="H34" s="10">
        <v>15</v>
      </c>
      <c r="I34" s="8">
        <f t="shared" si="0"/>
        <v>8</v>
      </c>
      <c r="J34" s="8">
        <f t="shared" si="1"/>
        <v>17</v>
      </c>
      <c r="K34" s="8">
        <f t="shared" si="2"/>
        <v>25</v>
      </c>
      <c r="L34" s="8">
        <f t="shared" si="3"/>
        <v>16</v>
      </c>
      <c r="M34" s="8">
        <f t="shared" si="4"/>
        <v>32</v>
      </c>
      <c r="N34" s="6" t="str">
        <f>IF(COUNTIF(規則與試算!$A$14:$A$46,I34)+COUNTIF(規則與試算!$A$14:$A$46,J34)+COUNTIF(規則與試算!$A$14:$A$46,K34)+COUNTIF(規則與試算!$A$14:$A$46,L34)+COUNTIF(規則與試算!$A$14:$A$46,M34)=5,"全吉","有凶")</f>
        <v>全吉</v>
      </c>
      <c r="O34" s="8" t="str">
        <f>INDEX(規則與試算!$D$14:$D$23,MOD(I34,10)+1)&amp;INDEX(規則與試算!$D$14:$D$23,MOD(J34,10)+1)&amp;INDEX(規則與試算!$D$14:$D$23,MOD(K34,10)+1)</f>
        <v>金金土</v>
      </c>
      <c r="P34" s="8" t="str">
        <f>INDEX(規則與試算!$G$14:$G$38,MATCH(MID(O34,1,1)&amp;MID(O34,2,1),規則與試算!$F$14:$F$38,0))</f>
        <v>比和</v>
      </c>
      <c r="Q34" s="8" t="str">
        <f>INDEX(規則與試算!$G$14:$G$38,MATCH(MID(O34,2,1)&amp;MID(O34,3,1),規則與試算!$F$14:$F$38,0))</f>
        <v>生</v>
      </c>
      <c r="R34" s="6" t="str">
        <f t="shared" si="5"/>
        <v>大吉</v>
      </c>
      <c r="S34" s="8" t="s">
        <v>28</v>
      </c>
      <c r="T34" s="8" t="s">
        <v>29</v>
      </c>
      <c r="U34" s="8" t="s">
        <v>39</v>
      </c>
      <c r="V34" s="8" t="str">
        <f t="shared" si="6"/>
        <v>火土</v>
      </c>
      <c r="W34" s="11" t="s">
        <v>128</v>
      </c>
    </row>
    <row r="35" spans="1:23" ht="19.95" customHeight="1">
      <c r="A35" s="3">
        <v>33</v>
      </c>
      <c r="B35" s="4" t="s">
        <v>129</v>
      </c>
      <c r="C35" s="3" t="s">
        <v>25</v>
      </c>
      <c r="D35" s="3" t="s">
        <v>111</v>
      </c>
      <c r="E35" s="3" t="s">
        <v>130</v>
      </c>
      <c r="F35" s="5">
        <v>7</v>
      </c>
      <c r="G35" s="5">
        <v>10</v>
      </c>
      <c r="H35" s="5">
        <v>15</v>
      </c>
      <c r="I35" s="3">
        <f t="shared" ref="I35:I52" si="7">F35+1</f>
        <v>8</v>
      </c>
      <c r="J35" s="3">
        <f t="shared" ref="J35:J52" si="8">F35+G35</f>
        <v>17</v>
      </c>
      <c r="K35" s="3">
        <f t="shared" ref="K35:K52" si="9">G35+H35</f>
        <v>25</v>
      </c>
      <c r="L35" s="3">
        <f t="shared" ref="L35:L52" si="10">H35+1</f>
        <v>16</v>
      </c>
      <c r="M35" s="3">
        <f t="shared" ref="M35:M52" si="11">F35+G35+H35</f>
        <v>32</v>
      </c>
      <c r="N35" s="6" t="str">
        <f>IF(COUNTIF(規則與試算!$A$14:$A$46,I35)+COUNTIF(規則與試算!$A$14:$A$46,J35)+COUNTIF(規則與試算!$A$14:$A$46,K35)+COUNTIF(規則與試算!$A$14:$A$46,L35)+COUNTIF(規則與試算!$A$14:$A$46,M35)=5,"全吉","有凶")</f>
        <v>全吉</v>
      </c>
      <c r="O35" s="3" t="str">
        <f>INDEX(規則與試算!$D$14:$D$23,MOD(I35,10)+1)&amp;INDEX(規則與試算!$D$14:$D$23,MOD(J35,10)+1)&amp;INDEX(規則與試算!$D$14:$D$23,MOD(K35,10)+1)</f>
        <v>金金土</v>
      </c>
      <c r="P35" s="3" t="str">
        <f>INDEX(規則與試算!$G$14:$G$38,MATCH(MID(O35,1,1)&amp;MID(O35,2,1),規則與試算!$F$14:$F$38,0))</f>
        <v>比和</v>
      </c>
      <c r="Q35" s="3" t="str">
        <f>INDEX(規則與試算!$G$14:$G$38,MATCH(MID(O35,2,1)&amp;MID(O35,3,1),規則與試算!$F$14:$F$38,0))</f>
        <v>生</v>
      </c>
      <c r="R35" s="6" t="str">
        <f t="shared" ref="R35:R66" si="12">IF(AND(P35&lt;&gt;"剋",Q35&lt;&gt;"剋"),"大吉",IF(OR(P35&lt;&gt;"剋",Q35&lt;&gt;"剋"),"中吉","需注意"))</f>
        <v>大吉</v>
      </c>
      <c r="S35" s="3" t="s">
        <v>28</v>
      </c>
      <c r="T35" s="3" t="s">
        <v>39</v>
      </c>
      <c r="U35" s="3" t="s">
        <v>29</v>
      </c>
      <c r="V35" s="3" t="str">
        <f t="shared" ref="V35:V66" si="13">T35&amp;U35</f>
        <v>土火</v>
      </c>
      <c r="W35" s="7" t="s">
        <v>131</v>
      </c>
    </row>
    <row r="36" spans="1:23" ht="19.95" customHeight="1">
      <c r="A36" s="8">
        <v>34</v>
      </c>
      <c r="B36" s="9" t="s">
        <v>132</v>
      </c>
      <c r="C36" s="8" t="s">
        <v>25</v>
      </c>
      <c r="D36" s="8" t="s">
        <v>27</v>
      </c>
      <c r="E36" s="8" t="s">
        <v>91</v>
      </c>
      <c r="F36" s="10">
        <v>7</v>
      </c>
      <c r="G36" s="10">
        <v>10</v>
      </c>
      <c r="H36" s="10">
        <v>15</v>
      </c>
      <c r="I36" s="8">
        <f t="shared" si="7"/>
        <v>8</v>
      </c>
      <c r="J36" s="8">
        <f t="shared" si="8"/>
        <v>17</v>
      </c>
      <c r="K36" s="8">
        <f t="shared" si="9"/>
        <v>25</v>
      </c>
      <c r="L36" s="8">
        <f t="shared" si="10"/>
        <v>16</v>
      </c>
      <c r="M36" s="8">
        <f t="shared" si="11"/>
        <v>32</v>
      </c>
      <c r="N36" s="6" t="str">
        <f>IF(COUNTIF(規則與試算!$A$14:$A$46,I36)+COUNTIF(規則與試算!$A$14:$A$46,J36)+COUNTIF(規則與試算!$A$14:$A$46,K36)+COUNTIF(規則與試算!$A$14:$A$46,L36)+COUNTIF(規則與試算!$A$14:$A$46,M36)=5,"全吉","有凶")</f>
        <v>全吉</v>
      </c>
      <c r="O36" s="8" t="str">
        <f>INDEX(規則與試算!$D$14:$D$23,MOD(I36,10)+1)&amp;INDEX(規則與試算!$D$14:$D$23,MOD(J36,10)+1)&amp;INDEX(規則與試算!$D$14:$D$23,MOD(K36,10)+1)</f>
        <v>金金土</v>
      </c>
      <c r="P36" s="8" t="str">
        <f>INDEX(規則與試算!$G$14:$G$38,MATCH(MID(O36,1,1)&amp;MID(O36,2,1),規則與試算!$F$14:$F$38,0))</f>
        <v>比和</v>
      </c>
      <c r="Q36" s="8" t="str">
        <f>INDEX(規則與試算!$G$14:$G$38,MATCH(MID(O36,2,1)&amp;MID(O36,3,1),規則與試算!$F$14:$F$38,0))</f>
        <v>生</v>
      </c>
      <c r="R36" s="6" t="str">
        <f t="shared" si="12"/>
        <v>大吉</v>
      </c>
      <c r="S36" s="8" t="s">
        <v>28</v>
      </c>
      <c r="T36" s="8" t="s">
        <v>29</v>
      </c>
      <c r="U36" s="8" t="s">
        <v>34</v>
      </c>
      <c r="V36" s="8" t="str">
        <f t="shared" si="13"/>
        <v>火金</v>
      </c>
      <c r="W36" s="11" t="s">
        <v>133</v>
      </c>
    </row>
    <row r="37" spans="1:23" ht="19.95" customHeight="1">
      <c r="A37" s="3">
        <v>35</v>
      </c>
      <c r="B37" s="4" t="s">
        <v>134</v>
      </c>
      <c r="C37" s="3" t="s">
        <v>25</v>
      </c>
      <c r="D37" s="3" t="s">
        <v>38</v>
      </c>
      <c r="E37" s="3" t="s">
        <v>87</v>
      </c>
      <c r="F37" s="5">
        <v>7</v>
      </c>
      <c r="G37" s="5">
        <v>10</v>
      </c>
      <c r="H37" s="5">
        <v>15</v>
      </c>
      <c r="I37" s="3">
        <f t="shared" si="7"/>
        <v>8</v>
      </c>
      <c r="J37" s="3">
        <f t="shared" si="8"/>
        <v>17</v>
      </c>
      <c r="K37" s="3">
        <f t="shared" si="9"/>
        <v>25</v>
      </c>
      <c r="L37" s="3">
        <f t="shared" si="10"/>
        <v>16</v>
      </c>
      <c r="M37" s="3">
        <f t="shared" si="11"/>
        <v>32</v>
      </c>
      <c r="N37" s="6" t="str">
        <f>IF(COUNTIF(規則與試算!$A$14:$A$46,I37)+COUNTIF(規則與試算!$A$14:$A$46,J37)+COUNTIF(規則與試算!$A$14:$A$46,K37)+COUNTIF(規則與試算!$A$14:$A$46,L37)+COUNTIF(規則與試算!$A$14:$A$46,M37)=5,"全吉","有凶")</f>
        <v>全吉</v>
      </c>
      <c r="O37" s="3" t="str">
        <f>INDEX(規則與試算!$D$14:$D$23,MOD(I37,10)+1)&amp;INDEX(規則與試算!$D$14:$D$23,MOD(J37,10)+1)&amp;INDEX(規則與試算!$D$14:$D$23,MOD(K37,10)+1)</f>
        <v>金金土</v>
      </c>
      <c r="P37" s="3" t="str">
        <f>INDEX(規則與試算!$G$14:$G$38,MATCH(MID(O37,1,1)&amp;MID(O37,2,1),規則與試算!$F$14:$F$38,0))</f>
        <v>比和</v>
      </c>
      <c r="Q37" s="3" t="str">
        <f>INDEX(規則與試算!$G$14:$G$38,MATCH(MID(O37,2,1)&amp;MID(O37,3,1),規則與試算!$F$14:$F$38,0))</f>
        <v>生</v>
      </c>
      <c r="R37" s="6" t="str">
        <f t="shared" si="12"/>
        <v>大吉</v>
      </c>
      <c r="S37" s="3" t="s">
        <v>28</v>
      </c>
      <c r="T37" s="3" t="s">
        <v>39</v>
      </c>
      <c r="U37" s="3" t="s">
        <v>51</v>
      </c>
      <c r="V37" s="3" t="str">
        <f t="shared" si="13"/>
        <v>土水</v>
      </c>
      <c r="W37" s="7" t="s">
        <v>135</v>
      </c>
    </row>
    <row r="38" spans="1:23" ht="19.95" customHeight="1">
      <c r="A38" s="8">
        <v>36</v>
      </c>
      <c r="B38" s="9" t="s">
        <v>136</v>
      </c>
      <c r="C38" s="8" t="s">
        <v>25</v>
      </c>
      <c r="D38" s="8" t="s">
        <v>137</v>
      </c>
      <c r="E38" s="8" t="s">
        <v>138</v>
      </c>
      <c r="F38" s="10">
        <v>7</v>
      </c>
      <c r="G38" s="10">
        <v>11</v>
      </c>
      <c r="H38" s="10">
        <v>5</v>
      </c>
      <c r="I38" s="8">
        <f t="shared" si="7"/>
        <v>8</v>
      </c>
      <c r="J38" s="8">
        <f t="shared" si="8"/>
        <v>18</v>
      </c>
      <c r="K38" s="8">
        <f t="shared" si="9"/>
        <v>16</v>
      </c>
      <c r="L38" s="8">
        <f t="shared" si="10"/>
        <v>6</v>
      </c>
      <c r="M38" s="8">
        <f t="shared" si="11"/>
        <v>23</v>
      </c>
      <c r="N38" s="6" t="str">
        <f>IF(COUNTIF(規則與試算!$A$14:$A$46,I38)+COUNTIF(規則與試算!$A$14:$A$46,J38)+COUNTIF(規則與試算!$A$14:$A$46,K38)+COUNTIF(規則與試算!$A$14:$A$46,L38)+COUNTIF(規則與試算!$A$14:$A$46,M38)=5,"全吉","有凶")</f>
        <v>全吉</v>
      </c>
      <c r="O38" s="8" t="str">
        <f>INDEX(規則與試算!$D$14:$D$23,MOD(I38,10)+1)&amp;INDEX(規則與試算!$D$14:$D$23,MOD(J38,10)+1)&amp;INDEX(規則與試算!$D$14:$D$23,MOD(K38,10)+1)</f>
        <v>金金土</v>
      </c>
      <c r="P38" s="8" t="str">
        <f>INDEX(規則與試算!$G$14:$G$38,MATCH(MID(O38,1,1)&amp;MID(O38,2,1),規則與試算!$F$14:$F$38,0))</f>
        <v>比和</v>
      </c>
      <c r="Q38" s="8" t="str">
        <f>INDEX(規則與試算!$G$14:$G$38,MATCH(MID(O38,2,1)&amp;MID(O38,3,1),規則與試算!$F$14:$F$38,0))</f>
        <v>生</v>
      </c>
      <c r="R38" s="6" t="str">
        <f t="shared" si="12"/>
        <v>大吉</v>
      </c>
      <c r="S38" s="8" t="s">
        <v>28</v>
      </c>
      <c r="T38" s="8" t="s">
        <v>28</v>
      </c>
      <c r="U38" s="8" t="s">
        <v>34</v>
      </c>
      <c r="V38" s="8" t="str">
        <f t="shared" si="13"/>
        <v>木金</v>
      </c>
      <c r="W38" s="11" t="s">
        <v>139</v>
      </c>
    </row>
    <row r="39" spans="1:23" ht="19.95" customHeight="1">
      <c r="A39" s="3">
        <v>37</v>
      </c>
      <c r="B39" s="4" t="s">
        <v>140</v>
      </c>
      <c r="C39" s="3" t="s">
        <v>25</v>
      </c>
      <c r="D39" s="3" t="s">
        <v>141</v>
      </c>
      <c r="E39" s="3" t="s">
        <v>142</v>
      </c>
      <c r="F39" s="5">
        <v>7</v>
      </c>
      <c r="G39" s="5">
        <v>11</v>
      </c>
      <c r="H39" s="5">
        <v>5</v>
      </c>
      <c r="I39" s="3">
        <f t="shared" si="7"/>
        <v>8</v>
      </c>
      <c r="J39" s="3">
        <f t="shared" si="8"/>
        <v>18</v>
      </c>
      <c r="K39" s="3">
        <f t="shared" si="9"/>
        <v>16</v>
      </c>
      <c r="L39" s="3">
        <f t="shared" si="10"/>
        <v>6</v>
      </c>
      <c r="M39" s="3">
        <f t="shared" si="11"/>
        <v>23</v>
      </c>
      <c r="N39" s="6" t="str">
        <f>IF(COUNTIF(規則與試算!$A$14:$A$46,I39)+COUNTIF(規則與試算!$A$14:$A$46,J39)+COUNTIF(規則與試算!$A$14:$A$46,K39)+COUNTIF(規則與試算!$A$14:$A$46,L39)+COUNTIF(規則與試算!$A$14:$A$46,M39)=5,"全吉","有凶")</f>
        <v>全吉</v>
      </c>
      <c r="O39" s="3" t="str">
        <f>INDEX(規則與試算!$D$14:$D$23,MOD(I39,10)+1)&amp;INDEX(規則與試算!$D$14:$D$23,MOD(J39,10)+1)&amp;INDEX(規則與試算!$D$14:$D$23,MOD(K39,10)+1)</f>
        <v>金金土</v>
      </c>
      <c r="P39" s="3" t="str">
        <f>INDEX(規則與試算!$G$14:$G$38,MATCH(MID(O39,1,1)&amp;MID(O39,2,1),規則與試算!$F$14:$F$38,0))</f>
        <v>比和</v>
      </c>
      <c r="Q39" s="3" t="str">
        <f>INDEX(規則與試算!$G$14:$G$38,MATCH(MID(O39,2,1)&amp;MID(O39,3,1),規則與試算!$F$14:$F$38,0))</f>
        <v>生</v>
      </c>
      <c r="R39" s="6" t="str">
        <f t="shared" si="12"/>
        <v>大吉</v>
      </c>
      <c r="S39" s="3" t="s">
        <v>28</v>
      </c>
      <c r="T39" s="3" t="s">
        <v>28</v>
      </c>
      <c r="U39" s="3" t="s">
        <v>51</v>
      </c>
      <c r="V39" s="3" t="str">
        <f t="shared" si="13"/>
        <v>木水</v>
      </c>
      <c r="W39" s="7" t="s">
        <v>143</v>
      </c>
    </row>
    <row r="40" spans="1:23" ht="19.95" customHeight="1">
      <c r="A40" s="8">
        <v>38</v>
      </c>
      <c r="B40" s="9" t="s">
        <v>144</v>
      </c>
      <c r="C40" s="8" t="s">
        <v>25</v>
      </c>
      <c r="D40" s="8" t="s">
        <v>145</v>
      </c>
      <c r="E40" s="8" t="s">
        <v>106</v>
      </c>
      <c r="F40" s="10">
        <v>7</v>
      </c>
      <c r="G40" s="10">
        <v>11</v>
      </c>
      <c r="H40" s="10">
        <v>6</v>
      </c>
      <c r="I40" s="8">
        <f t="shared" si="7"/>
        <v>8</v>
      </c>
      <c r="J40" s="8">
        <f t="shared" si="8"/>
        <v>18</v>
      </c>
      <c r="K40" s="8">
        <f t="shared" si="9"/>
        <v>17</v>
      </c>
      <c r="L40" s="8">
        <f t="shared" si="10"/>
        <v>7</v>
      </c>
      <c r="M40" s="8">
        <f t="shared" si="11"/>
        <v>24</v>
      </c>
      <c r="N40" s="6" t="str">
        <f>IF(COUNTIF(規則與試算!$A$14:$A$46,I40)+COUNTIF(規則與試算!$A$14:$A$46,J40)+COUNTIF(規則與試算!$A$14:$A$46,K40)+COUNTIF(規則與試算!$A$14:$A$46,L40)+COUNTIF(規則與試算!$A$14:$A$46,M40)=5,"全吉","有凶")</f>
        <v>全吉</v>
      </c>
      <c r="O40" s="8" t="str">
        <f>INDEX(規則與試算!$D$14:$D$23,MOD(I40,10)+1)&amp;INDEX(規則與試算!$D$14:$D$23,MOD(J40,10)+1)&amp;INDEX(規則與試算!$D$14:$D$23,MOD(K40,10)+1)</f>
        <v>金金金</v>
      </c>
      <c r="P40" s="8" t="str">
        <f>INDEX(規則與試算!$G$14:$G$38,MATCH(MID(O40,1,1)&amp;MID(O40,2,1),規則與試算!$F$14:$F$38,0))</f>
        <v>比和</v>
      </c>
      <c r="Q40" s="8" t="str">
        <f>INDEX(規則與試算!$G$14:$G$38,MATCH(MID(O40,2,1)&amp;MID(O40,3,1),規則與試算!$F$14:$F$38,0))</f>
        <v>比和</v>
      </c>
      <c r="R40" s="6" t="str">
        <f t="shared" si="12"/>
        <v>大吉</v>
      </c>
      <c r="S40" s="8" t="s">
        <v>28</v>
      </c>
      <c r="T40" s="8" t="s">
        <v>34</v>
      </c>
      <c r="U40" s="8" t="s">
        <v>39</v>
      </c>
      <c r="V40" s="8" t="str">
        <f t="shared" si="13"/>
        <v>金土</v>
      </c>
      <c r="W40" s="11" t="s">
        <v>146</v>
      </c>
    </row>
    <row r="41" spans="1:23" ht="19.95" customHeight="1">
      <c r="A41" s="3">
        <v>39</v>
      </c>
      <c r="B41" s="4" t="s">
        <v>147</v>
      </c>
      <c r="C41" s="3" t="s">
        <v>25</v>
      </c>
      <c r="D41" s="3" t="s">
        <v>148</v>
      </c>
      <c r="E41" s="3" t="s">
        <v>106</v>
      </c>
      <c r="F41" s="5">
        <v>7</v>
      </c>
      <c r="G41" s="5">
        <v>11</v>
      </c>
      <c r="H41" s="5">
        <v>6</v>
      </c>
      <c r="I41" s="3">
        <f t="shared" si="7"/>
        <v>8</v>
      </c>
      <c r="J41" s="3">
        <f t="shared" si="8"/>
        <v>18</v>
      </c>
      <c r="K41" s="3">
        <f t="shared" si="9"/>
        <v>17</v>
      </c>
      <c r="L41" s="3">
        <f t="shared" si="10"/>
        <v>7</v>
      </c>
      <c r="M41" s="3">
        <f t="shared" si="11"/>
        <v>24</v>
      </c>
      <c r="N41" s="6" t="str">
        <f>IF(COUNTIF(規則與試算!$A$14:$A$46,I41)+COUNTIF(規則與試算!$A$14:$A$46,J41)+COUNTIF(規則與試算!$A$14:$A$46,K41)+COUNTIF(規則與試算!$A$14:$A$46,L41)+COUNTIF(規則與試算!$A$14:$A$46,M41)=5,"全吉","有凶")</f>
        <v>全吉</v>
      </c>
      <c r="O41" s="3" t="str">
        <f>INDEX(規則與試算!$D$14:$D$23,MOD(I41,10)+1)&amp;INDEX(規則與試算!$D$14:$D$23,MOD(J41,10)+1)&amp;INDEX(規則與試算!$D$14:$D$23,MOD(K41,10)+1)</f>
        <v>金金金</v>
      </c>
      <c r="P41" s="3" t="str">
        <f>INDEX(規則與試算!$G$14:$G$38,MATCH(MID(O41,1,1)&amp;MID(O41,2,1),規則與試算!$F$14:$F$38,0))</f>
        <v>比和</v>
      </c>
      <c r="Q41" s="3" t="str">
        <f>INDEX(規則與試算!$G$14:$G$38,MATCH(MID(O41,2,1)&amp;MID(O41,3,1),規則與試算!$F$14:$F$38,0))</f>
        <v>比和</v>
      </c>
      <c r="R41" s="6" t="str">
        <f t="shared" si="12"/>
        <v>大吉</v>
      </c>
      <c r="S41" s="3" t="s">
        <v>28</v>
      </c>
      <c r="T41" s="3" t="s">
        <v>28</v>
      </c>
      <c r="U41" s="3" t="s">
        <v>39</v>
      </c>
      <c r="V41" s="3" t="str">
        <f t="shared" si="13"/>
        <v>木土</v>
      </c>
      <c r="W41" s="7" t="s">
        <v>149</v>
      </c>
    </row>
    <row r="42" spans="1:23" ht="19.95" customHeight="1">
      <c r="A42" s="8">
        <v>40</v>
      </c>
      <c r="B42" s="9" t="s">
        <v>150</v>
      </c>
      <c r="C42" s="8" t="s">
        <v>25</v>
      </c>
      <c r="D42" s="8" t="s">
        <v>137</v>
      </c>
      <c r="E42" s="8" t="s">
        <v>151</v>
      </c>
      <c r="F42" s="10">
        <v>7</v>
      </c>
      <c r="G42" s="10">
        <v>11</v>
      </c>
      <c r="H42" s="10">
        <v>6</v>
      </c>
      <c r="I42" s="8">
        <f t="shared" si="7"/>
        <v>8</v>
      </c>
      <c r="J42" s="8">
        <f t="shared" si="8"/>
        <v>18</v>
      </c>
      <c r="K42" s="8">
        <f t="shared" si="9"/>
        <v>17</v>
      </c>
      <c r="L42" s="8">
        <f t="shared" si="10"/>
        <v>7</v>
      </c>
      <c r="M42" s="8">
        <f t="shared" si="11"/>
        <v>24</v>
      </c>
      <c r="N42" s="6" t="str">
        <f>IF(COUNTIF(規則與試算!$A$14:$A$46,I42)+COUNTIF(規則與試算!$A$14:$A$46,J42)+COUNTIF(規則與試算!$A$14:$A$46,K42)+COUNTIF(規則與試算!$A$14:$A$46,L42)+COUNTIF(規則與試算!$A$14:$A$46,M42)=5,"全吉","有凶")</f>
        <v>全吉</v>
      </c>
      <c r="O42" s="8" t="str">
        <f>INDEX(規則與試算!$D$14:$D$23,MOD(I42,10)+1)&amp;INDEX(規則與試算!$D$14:$D$23,MOD(J42,10)+1)&amp;INDEX(規則與試算!$D$14:$D$23,MOD(K42,10)+1)</f>
        <v>金金金</v>
      </c>
      <c r="P42" s="8" t="str">
        <f>INDEX(規則與試算!$G$14:$G$38,MATCH(MID(O42,1,1)&amp;MID(O42,2,1),規則與試算!$F$14:$F$38,0))</f>
        <v>比和</v>
      </c>
      <c r="Q42" s="8" t="str">
        <f>INDEX(規則與試算!$G$14:$G$38,MATCH(MID(O42,2,1)&amp;MID(O42,3,1),規則與試算!$F$14:$F$38,0))</f>
        <v>比和</v>
      </c>
      <c r="R42" s="6" t="str">
        <f t="shared" si="12"/>
        <v>大吉</v>
      </c>
      <c r="S42" s="8" t="s">
        <v>28</v>
      </c>
      <c r="T42" s="8" t="s">
        <v>28</v>
      </c>
      <c r="U42" s="8" t="s">
        <v>29</v>
      </c>
      <c r="V42" s="8" t="str">
        <f t="shared" si="13"/>
        <v>木火</v>
      </c>
      <c r="W42" s="11" t="s">
        <v>152</v>
      </c>
    </row>
    <row r="43" spans="1:23" ht="19.95" customHeight="1">
      <c r="A43" s="3">
        <v>41</v>
      </c>
      <c r="B43" s="4" t="s">
        <v>153</v>
      </c>
      <c r="C43" s="3" t="s">
        <v>25</v>
      </c>
      <c r="D43" s="3" t="s">
        <v>154</v>
      </c>
      <c r="E43" s="3" t="s">
        <v>70</v>
      </c>
      <c r="F43" s="5">
        <v>7</v>
      </c>
      <c r="G43" s="5">
        <v>11</v>
      </c>
      <c r="H43" s="5">
        <v>7</v>
      </c>
      <c r="I43" s="3">
        <f t="shared" si="7"/>
        <v>8</v>
      </c>
      <c r="J43" s="3">
        <f t="shared" si="8"/>
        <v>18</v>
      </c>
      <c r="K43" s="3">
        <f t="shared" si="9"/>
        <v>18</v>
      </c>
      <c r="L43" s="3">
        <f t="shared" si="10"/>
        <v>8</v>
      </c>
      <c r="M43" s="3">
        <f t="shared" si="11"/>
        <v>25</v>
      </c>
      <c r="N43" s="6" t="str">
        <f>IF(COUNTIF(規則與試算!$A$14:$A$46,I43)+COUNTIF(規則與試算!$A$14:$A$46,J43)+COUNTIF(規則與試算!$A$14:$A$46,K43)+COUNTIF(規則與試算!$A$14:$A$46,L43)+COUNTIF(規則與試算!$A$14:$A$46,M43)=5,"全吉","有凶")</f>
        <v>全吉</v>
      </c>
      <c r="O43" s="3" t="str">
        <f>INDEX(規則與試算!$D$14:$D$23,MOD(I43,10)+1)&amp;INDEX(規則與試算!$D$14:$D$23,MOD(J43,10)+1)&amp;INDEX(規則與試算!$D$14:$D$23,MOD(K43,10)+1)</f>
        <v>金金金</v>
      </c>
      <c r="P43" s="3" t="str">
        <f>INDEX(規則與試算!$G$14:$G$38,MATCH(MID(O43,1,1)&amp;MID(O43,2,1),規則與試算!$F$14:$F$38,0))</f>
        <v>比和</v>
      </c>
      <c r="Q43" s="3" t="str">
        <f>INDEX(規則與試算!$G$14:$G$38,MATCH(MID(O43,2,1)&amp;MID(O43,3,1),規則與試算!$F$14:$F$38,0))</f>
        <v>比和</v>
      </c>
      <c r="R43" s="6" t="str">
        <f t="shared" si="12"/>
        <v>大吉</v>
      </c>
      <c r="S43" s="3" t="s">
        <v>28</v>
      </c>
      <c r="T43" s="3" t="s">
        <v>28</v>
      </c>
      <c r="U43" s="3" t="s">
        <v>28</v>
      </c>
      <c r="V43" s="3" t="str">
        <f t="shared" si="13"/>
        <v>木木</v>
      </c>
      <c r="W43" s="7" t="s">
        <v>155</v>
      </c>
    </row>
    <row r="44" spans="1:23" ht="19.95" customHeight="1">
      <c r="A44" s="8">
        <v>42</v>
      </c>
      <c r="B44" s="9" t="s">
        <v>156</v>
      </c>
      <c r="C44" s="8" t="s">
        <v>25</v>
      </c>
      <c r="D44" s="8" t="s">
        <v>145</v>
      </c>
      <c r="E44" s="8" t="s">
        <v>119</v>
      </c>
      <c r="F44" s="10">
        <v>7</v>
      </c>
      <c r="G44" s="10">
        <v>11</v>
      </c>
      <c r="H44" s="10">
        <v>7</v>
      </c>
      <c r="I44" s="8">
        <f t="shared" si="7"/>
        <v>8</v>
      </c>
      <c r="J44" s="8">
        <f t="shared" si="8"/>
        <v>18</v>
      </c>
      <c r="K44" s="8">
        <f t="shared" si="9"/>
        <v>18</v>
      </c>
      <c r="L44" s="8">
        <f t="shared" si="10"/>
        <v>8</v>
      </c>
      <c r="M44" s="8">
        <f t="shared" si="11"/>
        <v>25</v>
      </c>
      <c r="N44" s="6" t="str">
        <f>IF(COUNTIF(規則與試算!$A$14:$A$46,I44)+COUNTIF(規則與試算!$A$14:$A$46,J44)+COUNTIF(規則與試算!$A$14:$A$46,K44)+COUNTIF(規則與試算!$A$14:$A$46,L44)+COUNTIF(規則與試算!$A$14:$A$46,M44)=5,"全吉","有凶")</f>
        <v>全吉</v>
      </c>
      <c r="O44" s="8" t="str">
        <f>INDEX(規則與試算!$D$14:$D$23,MOD(I44,10)+1)&amp;INDEX(規則與試算!$D$14:$D$23,MOD(J44,10)+1)&amp;INDEX(規則與試算!$D$14:$D$23,MOD(K44,10)+1)</f>
        <v>金金金</v>
      </c>
      <c r="P44" s="8" t="str">
        <f>INDEX(規則與試算!$G$14:$G$38,MATCH(MID(O44,1,1)&amp;MID(O44,2,1),規則與試算!$F$14:$F$38,0))</f>
        <v>比和</v>
      </c>
      <c r="Q44" s="8" t="str">
        <f>INDEX(規則與試算!$G$14:$G$38,MATCH(MID(O44,2,1)&amp;MID(O44,3,1),規則與試算!$F$14:$F$38,0))</f>
        <v>比和</v>
      </c>
      <c r="R44" s="6" t="str">
        <f t="shared" si="12"/>
        <v>大吉</v>
      </c>
      <c r="S44" s="8" t="s">
        <v>28</v>
      </c>
      <c r="T44" s="8" t="s">
        <v>34</v>
      </c>
      <c r="U44" s="8" t="s">
        <v>39</v>
      </c>
      <c r="V44" s="8" t="str">
        <f t="shared" si="13"/>
        <v>金土</v>
      </c>
      <c r="W44" s="11" t="s">
        <v>157</v>
      </c>
    </row>
    <row r="45" spans="1:23" ht="19.95" customHeight="1">
      <c r="A45" s="3">
        <v>43</v>
      </c>
      <c r="B45" s="4" t="s">
        <v>158</v>
      </c>
      <c r="C45" s="3" t="s">
        <v>25</v>
      </c>
      <c r="D45" s="3" t="s">
        <v>159</v>
      </c>
      <c r="E45" s="3" t="s">
        <v>116</v>
      </c>
      <c r="F45" s="5">
        <v>7</v>
      </c>
      <c r="G45" s="5">
        <v>11</v>
      </c>
      <c r="H45" s="5">
        <v>7</v>
      </c>
      <c r="I45" s="3">
        <f t="shared" si="7"/>
        <v>8</v>
      </c>
      <c r="J45" s="3">
        <f t="shared" si="8"/>
        <v>18</v>
      </c>
      <c r="K45" s="3">
        <f t="shared" si="9"/>
        <v>18</v>
      </c>
      <c r="L45" s="3">
        <f t="shared" si="10"/>
        <v>8</v>
      </c>
      <c r="M45" s="3">
        <f t="shared" si="11"/>
        <v>25</v>
      </c>
      <c r="N45" s="6" t="str">
        <f>IF(COUNTIF(規則與試算!$A$14:$A$46,I45)+COUNTIF(規則與試算!$A$14:$A$46,J45)+COUNTIF(規則與試算!$A$14:$A$46,K45)+COUNTIF(規則與試算!$A$14:$A$46,L45)+COUNTIF(規則與試算!$A$14:$A$46,M45)=5,"全吉","有凶")</f>
        <v>全吉</v>
      </c>
      <c r="O45" s="3" t="str">
        <f>INDEX(規則與試算!$D$14:$D$23,MOD(I45,10)+1)&amp;INDEX(規則與試算!$D$14:$D$23,MOD(J45,10)+1)&amp;INDEX(規則與試算!$D$14:$D$23,MOD(K45,10)+1)</f>
        <v>金金金</v>
      </c>
      <c r="P45" s="3" t="str">
        <f>INDEX(規則與試算!$G$14:$G$38,MATCH(MID(O45,1,1)&amp;MID(O45,2,1),規則與試算!$F$14:$F$38,0))</f>
        <v>比和</v>
      </c>
      <c r="Q45" s="3" t="str">
        <f>INDEX(規則與試算!$G$14:$G$38,MATCH(MID(O45,2,1)&amp;MID(O45,3,1),規則與試算!$F$14:$F$38,0))</f>
        <v>比和</v>
      </c>
      <c r="R45" s="6" t="str">
        <f t="shared" si="12"/>
        <v>大吉</v>
      </c>
      <c r="S45" s="3" t="s">
        <v>28</v>
      </c>
      <c r="T45" s="3" t="s">
        <v>39</v>
      </c>
      <c r="U45" s="3" t="s">
        <v>34</v>
      </c>
      <c r="V45" s="3" t="str">
        <f t="shared" si="13"/>
        <v>土金</v>
      </c>
      <c r="W45" s="7" t="s">
        <v>160</v>
      </c>
    </row>
    <row r="46" spans="1:23" ht="19.95" customHeight="1">
      <c r="A46" s="8">
        <v>44</v>
      </c>
      <c r="B46" s="9" t="s">
        <v>161</v>
      </c>
      <c r="C46" s="8" t="s">
        <v>25</v>
      </c>
      <c r="D46" s="8" t="s">
        <v>162</v>
      </c>
      <c r="E46" s="8" t="s">
        <v>163</v>
      </c>
      <c r="F46" s="10">
        <v>7</v>
      </c>
      <c r="G46" s="10">
        <v>11</v>
      </c>
      <c r="H46" s="10">
        <v>14</v>
      </c>
      <c r="I46" s="8">
        <f t="shared" si="7"/>
        <v>8</v>
      </c>
      <c r="J46" s="8">
        <f t="shared" si="8"/>
        <v>18</v>
      </c>
      <c r="K46" s="8">
        <f t="shared" si="9"/>
        <v>25</v>
      </c>
      <c r="L46" s="8">
        <f t="shared" si="10"/>
        <v>15</v>
      </c>
      <c r="M46" s="8">
        <f t="shared" si="11"/>
        <v>32</v>
      </c>
      <c r="N46" s="6" t="str">
        <f>IF(COUNTIF(規則與試算!$A$14:$A$46,I46)+COUNTIF(規則與試算!$A$14:$A$46,J46)+COUNTIF(規則與試算!$A$14:$A$46,K46)+COUNTIF(規則與試算!$A$14:$A$46,L46)+COUNTIF(規則與試算!$A$14:$A$46,M46)=5,"全吉","有凶")</f>
        <v>全吉</v>
      </c>
      <c r="O46" s="8" t="str">
        <f>INDEX(規則與試算!$D$14:$D$23,MOD(I46,10)+1)&amp;INDEX(規則與試算!$D$14:$D$23,MOD(J46,10)+1)&amp;INDEX(規則與試算!$D$14:$D$23,MOD(K46,10)+1)</f>
        <v>金金土</v>
      </c>
      <c r="P46" s="8" t="str">
        <f>INDEX(規則與試算!$G$14:$G$38,MATCH(MID(O46,1,1)&amp;MID(O46,2,1),規則與試算!$F$14:$F$38,0))</f>
        <v>比和</v>
      </c>
      <c r="Q46" s="8" t="str">
        <f>INDEX(規則與試算!$G$14:$G$38,MATCH(MID(O46,2,1)&amp;MID(O46,3,1),規則與試算!$F$14:$F$38,0))</f>
        <v>生</v>
      </c>
      <c r="R46" s="6" t="str">
        <f t="shared" si="12"/>
        <v>大吉</v>
      </c>
      <c r="S46" s="8" t="s">
        <v>28</v>
      </c>
      <c r="T46" s="8" t="s">
        <v>34</v>
      </c>
      <c r="U46" s="8" t="s">
        <v>34</v>
      </c>
      <c r="V46" s="8" t="str">
        <f t="shared" si="13"/>
        <v>金金</v>
      </c>
      <c r="W46" s="11" t="s">
        <v>164</v>
      </c>
    </row>
    <row r="47" spans="1:23" ht="19.95" customHeight="1">
      <c r="A47" s="3">
        <v>45</v>
      </c>
      <c r="B47" s="4" t="s">
        <v>165</v>
      </c>
      <c r="C47" s="3" t="s">
        <v>25</v>
      </c>
      <c r="D47" s="3" t="s">
        <v>145</v>
      </c>
      <c r="E47" s="3" t="s">
        <v>166</v>
      </c>
      <c r="F47" s="5">
        <v>7</v>
      </c>
      <c r="G47" s="5">
        <v>11</v>
      </c>
      <c r="H47" s="5">
        <v>14</v>
      </c>
      <c r="I47" s="3">
        <f t="shared" si="7"/>
        <v>8</v>
      </c>
      <c r="J47" s="3">
        <f t="shared" si="8"/>
        <v>18</v>
      </c>
      <c r="K47" s="3">
        <f t="shared" si="9"/>
        <v>25</v>
      </c>
      <c r="L47" s="3">
        <f t="shared" si="10"/>
        <v>15</v>
      </c>
      <c r="M47" s="3">
        <f t="shared" si="11"/>
        <v>32</v>
      </c>
      <c r="N47" s="6" t="str">
        <f>IF(COUNTIF(規則與試算!$A$14:$A$46,I47)+COUNTIF(規則與試算!$A$14:$A$46,J47)+COUNTIF(規則與試算!$A$14:$A$46,K47)+COUNTIF(規則與試算!$A$14:$A$46,L47)+COUNTIF(規則與試算!$A$14:$A$46,M47)=5,"全吉","有凶")</f>
        <v>全吉</v>
      </c>
      <c r="O47" s="3" t="str">
        <f>INDEX(規則與試算!$D$14:$D$23,MOD(I47,10)+1)&amp;INDEX(規則與試算!$D$14:$D$23,MOD(J47,10)+1)&amp;INDEX(規則與試算!$D$14:$D$23,MOD(K47,10)+1)</f>
        <v>金金土</v>
      </c>
      <c r="P47" s="3" t="str">
        <f>INDEX(規則與試算!$G$14:$G$38,MATCH(MID(O47,1,1)&amp;MID(O47,2,1),規則與試算!$F$14:$F$38,0))</f>
        <v>比和</v>
      </c>
      <c r="Q47" s="3" t="str">
        <f>INDEX(規則與試算!$G$14:$G$38,MATCH(MID(O47,2,1)&amp;MID(O47,3,1),規則與試算!$F$14:$F$38,0))</f>
        <v>生</v>
      </c>
      <c r="R47" s="6" t="str">
        <f t="shared" si="12"/>
        <v>大吉</v>
      </c>
      <c r="S47" s="3" t="s">
        <v>28</v>
      </c>
      <c r="T47" s="3" t="s">
        <v>34</v>
      </c>
      <c r="U47" s="3" t="s">
        <v>51</v>
      </c>
      <c r="V47" s="3" t="str">
        <f t="shared" si="13"/>
        <v>金水</v>
      </c>
      <c r="W47" s="7" t="s">
        <v>167</v>
      </c>
    </row>
    <row r="48" spans="1:23" ht="19.95" customHeight="1">
      <c r="A48" s="8">
        <v>46</v>
      </c>
      <c r="B48" s="9" t="s">
        <v>168</v>
      </c>
      <c r="C48" s="8" t="s">
        <v>25</v>
      </c>
      <c r="D48" s="8" t="s">
        <v>154</v>
      </c>
      <c r="E48" s="8" t="s">
        <v>169</v>
      </c>
      <c r="F48" s="10">
        <v>7</v>
      </c>
      <c r="G48" s="10">
        <v>11</v>
      </c>
      <c r="H48" s="10">
        <v>14</v>
      </c>
      <c r="I48" s="8">
        <f t="shared" si="7"/>
        <v>8</v>
      </c>
      <c r="J48" s="8">
        <f t="shared" si="8"/>
        <v>18</v>
      </c>
      <c r="K48" s="8">
        <f t="shared" si="9"/>
        <v>25</v>
      </c>
      <c r="L48" s="8">
        <f t="shared" si="10"/>
        <v>15</v>
      </c>
      <c r="M48" s="8">
        <f t="shared" si="11"/>
        <v>32</v>
      </c>
      <c r="N48" s="6" t="str">
        <f>IF(COUNTIF(規則與試算!$A$14:$A$46,I48)+COUNTIF(規則與試算!$A$14:$A$46,J48)+COUNTIF(規則與試算!$A$14:$A$46,K48)+COUNTIF(規則與試算!$A$14:$A$46,L48)+COUNTIF(規則與試算!$A$14:$A$46,M48)=5,"全吉","有凶")</f>
        <v>全吉</v>
      </c>
      <c r="O48" s="8" t="str">
        <f>INDEX(規則與試算!$D$14:$D$23,MOD(I48,10)+1)&amp;INDEX(規則與試算!$D$14:$D$23,MOD(J48,10)+1)&amp;INDEX(規則與試算!$D$14:$D$23,MOD(K48,10)+1)</f>
        <v>金金土</v>
      </c>
      <c r="P48" s="8" t="str">
        <f>INDEX(規則與試算!$G$14:$G$38,MATCH(MID(O48,1,1)&amp;MID(O48,2,1),規則與試算!$F$14:$F$38,0))</f>
        <v>比和</v>
      </c>
      <c r="Q48" s="8" t="str">
        <f>INDEX(規則與試算!$G$14:$G$38,MATCH(MID(O48,2,1)&amp;MID(O48,3,1),規則與試算!$F$14:$F$38,0))</f>
        <v>生</v>
      </c>
      <c r="R48" s="6" t="str">
        <f t="shared" si="12"/>
        <v>大吉</v>
      </c>
      <c r="S48" s="8" t="s">
        <v>28</v>
      </c>
      <c r="T48" s="8" t="s">
        <v>28</v>
      </c>
      <c r="U48" s="8" t="s">
        <v>34</v>
      </c>
      <c r="V48" s="8" t="str">
        <f t="shared" si="13"/>
        <v>木金</v>
      </c>
      <c r="W48" s="11" t="s">
        <v>170</v>
      </c>
    </row>
    <row r="49" spans="1:23" ht="19.95" customHeight="1">
      <c r="A49" s="3">
        <v>47</v>
      </c>
      <c r="B49" s="4" t="s">
        <v>171</v>
      </c>
      <c r="C49" s="3" t="s">
        <v>25</v>
      </c>
      <c r="D49" s="3" t="s">
        <v>137</v>
      </c>
      <c r="E49" s="3" t="s">
        <v>172</v>
      </c>
      <c r="F49" s="5">
        <v>7</v>
      </c>
      <c r="G49" s="5">
        <v>11</v>
      </c>
      <c r="H49" s="5">
        <v>14</v>
      </c>
      <c r="I49" s="3">
        <f t="shared" si="7"/>
        <v>8</v>
      </c>
      <c r="J49" s="3">
        <f t="shared" si="8"/>
        <v>18</v>
      </c>
      <c r="K49" s="3">
        <f t="shared" si="9"/>
        <v>25</v>
      </c>
      <c r="L49" s="3">
        <f t="shared" si="10"/>
        <v>15</v>
      </c>
      <c r="M49" s="3">
        <f t="shared" si="11"/>
        <v>32</v>
      </c>
      <c r="N49" s="6" t="str">
        <f>IF(COUNTIF(規則與試算!$A$14:$A$46,I49)+COUNTIF(規則與試算!$A$14:$A$46,J49)+COUNTIF(規則與試算!$A$14:$A$46,K49)+COUNTIF(規則與試算!$A$14:$A$46,L49)+COUNTIF(規則與試算!$A$14:$A$46,M49)=5,"全吉","有凶")</f>
        <v>全吉</v>
      </c>
      <c r="O49" s="3" t="str">
        <f>INDEX(規則與試算!$D$14:$D$23,MOD(I49,10)+1)&amp;INDEX(規則與試算!$D$14:$D$23,MOD(J49,10)+1)&amp;INDEX(規則與試算!$D$14:$D$23,MOD(K49,10)+1)</f>
        <v>金金土</v>
      </c>
      <c r="P49" s="3" t="str">
        <f>INDEX(規則與試算!$G$14:$G$38,MATCH(MID(O49,1,1)&amp;MID(O49,2,1),規則與試算!$F$14:$F$38,0))</f>
        <v>比和</v>
      </c>
      <c r="Q49" s="3" t="str">
        <f>INDEX(規則與試算!$G$14:$G$38,MATCH(MID(O49,2,1)&amp;MID(O49,3,1),規則與試算!$F$14:$F$38,0))</f>
        <v>生</v>
      </c>
      <c r="R49" s="6" t="str">
        <f t="shared" si="12"/>
        <v>大吉</v>
      </c>
      <c r="S49" s="3" t="s">
        <v>28</v>
      </c>
      <c r="T49" s="3" t="s">
        <v>28</v>
      </c>
      <c r="U49" s="3" t="s">
        <v>28</v>
      </c>
      <c r="V49" s="3" t="str">
        <f t="shared" si="13"/>
        <v>木木</v>
      </c>
      <c r="W49" s="7" t="s">
        <v>173</v>
      </c>
    </row>
    <row r="50" spans="1:23" ht="19.95" customHeight="1">
      <c r="A50" s="8">
        <v>48</v>
      </c>
      <c r="B50" s="9" t="s">
        <v>174</v>
      </c>
      <c r="C50" s="8" t="s">
        <v>25</v>
      </c>
      <c r="D50" s="8" t="s">
        <v>175</v>
      </c>
      <c r="E50" s="8" t="s">
        <v>106</v>
      </c>
      <c r="F50" s="10">
        <v>7</v>
      </c>
      <c r="G50" s="10">
        <v>18</v>
      </c>
      <c r="H50" s="10">
        <v>6</v>
      </c>
      <c r="I50" s="8">
        <f t="shared" si="7"/>
        <v>8</v>
      </c>
      <c r="J50" s="8">
        <f t="shared" si="8"/>
        <v>25</v>
      </c>
      <c r="K50" s="8">
        <f t="shared" si="9"/>
        <v>24</v>
      </c>
      <c r="L50" s="8">
        <f t="shared" si="10"/>
        <v>7</v>
      </c>
      <c r="M50" s="8">
        <f t="shared" si="11"/>
        <v>31</v>
      </c>
      <c r="N50" s="6" t="str">
        <f>IF(COUNTIF(規則與試算!$A$14:$A$46,I50)+COUNTIF(規則與試算!$A$14:$A$46,J50)+COUNTIF(規則與試算!$A$14:$A$46,K50)+COUNTIF(規則與試算!$A$14:$A$46,L50)+COUNTIF(規則與試算!$A$14:$A$46,M50)=5,"全吉","有凶")</f>
        <v>全吉</v>
      </c>
      <c r="O50" s="8" t="str">
        <f>INDEX(規則與試算!$D$14:$D$23,MOD(I50,10)+1)&amp;INDEX(規則與試算!$D$14:$D$23,MOD(J50,10)+1)&amp;INDEX(規則與試算!$D$14:$D$23,MOD(K50,10)+1)</f>
        <v>金土火</v>
      </c>
      <c r="P50" s="8" t="str">
        <f>INDEX(規則與試算!$G$14:$G$38,MATCH(MID(O50,1,1)&amp;MID(O50,2,1),規則與試算!$F$14:$F$38,0))</f>
        <v>生</v>
      </c>
      <c r="Q50" s="8" t="str">
        <f>INDEX(規則與試算!$G$14:$G$38,MATCH(MID(O50,2,1)&amp;MID(O50,3,1),規則與試算!$F$14:$F$38,0))</f>
        <v>生</v>
      </c>
      <c r="R50" s="6" t="str">
        <f t="shared" si="12"/>
        <v>大吉</v>
      </c>
      <c r="S50" s="8" t="s">
        <v>28</v>
      </c>
      <c r="T50" s="8" t="s">
        <v>29</v>
      </c>
      <c r="U50" s="8" t="s">
        <v>39</v>
      </c>
      <c r="V50" s="8" t="str">
        <f t="shared" si="13"/>
        <v>火土</v>
      </c>
      <c r="W50" s="11" t="s">
        <v>176</v>
      </c>
    </row>
    <row r="51" spans="1:23" ht="19.95" customHeight="1">
      <c r="A51" s="3">
        <v>49</v>
      </c>
      <c r="B51" s="4" t="s">
        <v>177</v>
      </c>
      <c r="C51" s="3" t="s">
        <v>25</v>
      </c>
      <c r="D51" s="3" t="s">
        <v>178</v>
      </c>
      <c r="E51" s="3" t="s">
        <v>179</v>
      </c>
      <c r="F51" s="5">
        <v>7</v>
      </c>
      <c r="G51" s="5">
        <v>18</v>
      </c>
      <c r="H51" s="5">
        <v>6</v>
      </c>
      <c r="I51" s="3">
        <f t="shared" si="7"/>
        <v>8</v>
      </c>
      <c r="J51" s="3">
        <f t="shared" si="8"/>
        <v>25</v>
      </c>
      <c r="K51" s="3">
        <f t="shared" si="9"/>
        <v>24</v>
      </c>
      <c r="L51" s="3">
        <f t="shared" si="10"/>
        <v>7</v>
      </c>
      <c r="M51" s="3">
        <f t="shared" si="11"/>
        <v>31</v>
      </c>
      <c r="N51" s="6" t="str">
        <f>IF(COUNTIF(規則與試算!$A$14:$A$46,I51)+COUNTIF(規則與試算!$A$14:$A$46,J51)+COUNTIF(規則與試算!$A$14:$A$46,K51)+COUNTIF(規則與試算!$A$14:$A$46,L51)+COUNTIF(規則與試算!$A$14:$A$46,M51)=5,"全吉","有凶")</f>
        <v>全吉</v>
      </c>
      <c r="O51" s="3" t="str">
        <f>INDEX(規則與試算!$D$14:$D$23,MOD(I51,10)+1)&amp;INDEX(規則與試算!$D$14:$D$23,MOD(J51,10)+1)&amp;INDEX(規則與試算!$D$14:$D$23,MOD(K51,10)+1)</f>
        <v>金土火</v>
      </c>
      <c r="P51" s="3" t="str">
        <f>INDEX(規則與試算!$G$14:$G$38,MATCH(MID(O51,1,1)&amp;MID(O51,2,1),規則與試算!$F$14:$F$38,0))</f>
        <v>生</v>
      </c>
      <c r="Q51" s="3" t="str">
        <f>INDEX(規則與試算!$G$14:$G$38,MATCH(MID(O51,2,1)&amp;MID(O51,3,1),規則與試算!$F$14:$F$38,0))</f>
        <v>生</v>
      </c>
      <c r="R51" s="6" t="str">
        <f t="shared" si="12"/>
        <v>大吉</v>
      </c>
      <c r="S51" s="3" t="s">
        <v>28</v>
      </c>
      <c r="T51" s="3" t="s">
        <v>29</v>
      </c>
      <c r="U51" s="3" t="s">
        <v>28</v>
      </c>
      <c r="V51" s="3" t="str">
        <f t="shared" si="13"/>
        <v>火木</v>
      </c>
      <c r="W51" s="7" t="s">
        <v>180</v>
      </c>
    </row>
    <row r="52" spans="1:23" ht="19.95" customHeight="1">
      <c r="A52" s="8">
        <v>50</v>
      </c>
      <c r="B52" s="9" t="s">
        <v>181</v>
      </c>
      <c r="C52" s="8" t="s">
        <v>25</v>
      </c>
      <c r="D52" s="8" t="s">
        <v>178</v>
      </c>
      <c r="E52" s="8" t="s">
        <v>182</v>
      </c>
      <c r="F52" s="10">
        <v>7</v>
      </c>
      <c r="G52" s="10">
        <v>18</v>
      </c>
      <c r="H52" s="10">
        <v>7</v>
      </c>
      <c r="I52" s="8">
        <f t="shared" si="7"/>
        <v>8</v>
      </c>
      <c r="J52" s="8">
        <f t="shared" si="8"/>
        <v>25</v>
      </c>
      <c r="K52" s="8">
        <f t="shared" si="9"/>
        <v>25</v>
      </c>
      <c r="L52" s="8">
        <f t="shared" si="10"/>
        <v>8</v>
      </c>
      <c r="M52" s="8">
        <f t="shared" si="11"/>
        <v>32</v>
      </c>
      <c r="N52" s="6" t="str">
        <f>IF(COUNTIF(規則與試算!$A$14:$A$46,I52)+COUNTIF(規則與試算!$A$14:$A$46,J52)+COUNTIF(規則與試算!$A$14:$A$46,K52)+COUNTIF(規則與試算!$A$14:$A$46,L52)+COUNTIF(規則與試算!$A$14:$A$46,M52)=5,"全吉","有凶")</f>
        <v>全吉</v>
      </c>
      <c r="O52" s="8" t="str">
        <f>INDEX(規則與試算!$D$14:$D$23,MOD(I52,10)+1)&amp;INDEX(規則與試算!$D$14:$D$23,MOD(J52,10)+1)&amp;INDEX(規則與試算!$D$14:$D$23,MOD(K52,10)+1)</f>
        <v>金土土</v>
      </c>
      <c r="P52" s="8" t="str">
        <f>INDEX(規則與試算!$G$14:$G$38,MATCH(MID(O52,1,1)&amp;MID(O52,2,1),規則與試算!$F$14:$F$38,0))</f>
        <v>生</v>
      </c>
      <c r="Q52" s="8" t="str">
        <f>INDEX(規則與試算!$G$14:$G$38,MATCH(MID(O52,2,1)&amp;MID(O52,3,1),規則與試算!$F$14:$F$38,0))</f>
        <v>比和</v>
      </c>
      <c r="R52" s="6" t="str">
        <f t="shared" si="12"/>
        <v>大吉</v>
      </c>
      <c r="S52" s="8" t="s">
        <v>28</v>
      </c>
      <c r="T52" s="8" t="s">
        <v>29</v>
      </c>
      <c r="U52" s="8" t="s">
        <v>29</v>
      </c>
      <c r="V52" s="8" t="str">
        <f t="shared" si="13"/>
        <v>火火</v>
      </c>
      <c r="W52" s="11" t="s">
        <v>183</v>
      </c>
    </row>
  </sheetData>
  <autoFilter ref="A2:W52" xr:uid="{00000000-0009-0000-0000-000000000000}"/>
  <mergeCells count="1">
    <mergeCell ref="A1:W1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2"/>
  <sheetViews>
    <sheetView showGridLines="0"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5"/>
  <cols>
    <col min="1" max="1" width="5" customWidth="1"/>
    <col min="2" max="2" width="10" customWidth="1"/>
    <col min="3" max="5" width="5" customWidth="1"/>
    <col min="6" max="6" width="6" customWidth="1"/>
    <col min="7" max="8" width="7" customWidth="1"/>
    <col min="9" max="13" width="6" customWidth="1"/>
    <col min="14" max="18" width="9" customWidth="1"/>
    <col min="19" max="19" width="10" customWidth="1"/>
    <col min="20" max="22" width="11" customWidth="1"/>
    <col min="23" max="23" width="24" customWidth="1"/>
  </cols>
  <sheetData>
    <row r="1" spans="1:23" ht="24" customHeight="1">
      <c r="A1" s="19" t="s">
        <v>184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ht="30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</row>
    <row r="3" spans="1:23" ht="19.95" customHeight="1">
      <c r="A3" s="3">
        <v>1</v>
      </c>
      <c r="B3" s="4" t="s">
        <v>185</v>
      </c>
      <c r="C3" s="3" t="s">
        <v>25</v>
      </c>
      <c r="D3" s="3" t="s">
        <v>186</v>
      </c>
      <c r="E3" s="3" t="s">
        <v>187</v>
      </c>
      <c r="F3" s="5">
        <v>7</v>
      </c>
      <c r="G3" s="5">
        <v>8</v>
      </c>
      <c r="H3" s="5">
        <v>10</v>
      </c>
      <c r="I3" s="3">
        <f t="shared" ref="I3:I34" si="0">F3+1</f>
        <v>8</v>
      </c>
      <c r="J3" s="3">
        <f t="shared" ref="J3:J34" si="1">F3+G3</f>
        <v>15</v>
      </c>
      <c r="K3" s="3">
        <f t="shared" ref="K3:K34" si="2">G3+H3</f>
        <v>18</v>
      </c>
      <c r="L3" s="3">
        <f t="shared" ref="L3:L34" si="3">H3+1</f>
        <v>11</v>
      </c>
      <c r="M3" s="3">
        <f t="shared" ref="M3:M34" si="4">F3+G3+H3</f>
        <v>25</v>
      </c>
      <c r="N3" s="6" t="str">
        <f>IF(COUNTIF(規則與試算!$A$14:$A$46,I3)+COUNTIF(規則與試算!$A$14:$A$46,J3)+COUNTIF(規則與試算!$A$14:$A$46,K3)+COUNTIF(規則與試算!$A$14:$A$46,L3)+COUNTIF(規則與試算!$A$14:$A$46,M3)=5,"全吉","有凶")</f>
        <v>全吉</v>
      </c>
      <c r="O3" s="3" t="str">
        <f>INDEX(規則與試算!$D$14:$D$23,MOD(I3,10)+1)&amp;INDEX(規則與試算!$D$14:$D$23,MOD(J3,10)+1)&amp;INDEX(規則與試算!$D$14:$D$23,MOD(K3,10)+1)</f>
        <v>金土金</v>
      </c>
      <c r="P3" s="3" t="str">
        <f>INDEX(規則與試算!$G$14:$G$38,MATCH(MID(O3,1,1)&amp;MID(O3,2,1),規則與試算!$F$14:$F$38,0))</f>
        <v>生</v>
      </c>
      <c r="Q3" s="3" t="str">
        <f>INDEX(規則與試算!$G$14:$G$38,MATCH(MID(O3,2,1)&amp;MID(O3,3,1),規則與試算!$F$14:$F$38,0))</f>
        <v>生</v>
      </c>
      <c r="R3" s="6" t="str">
        <f t="shared" ref="R3:R34" si="5">IF(AND(P3&lt;&gt;"剋",Q3&lt;&gt;"剋"),"大吉",IF(OR(P3&lt;&gt;"剋",Q3&lt;&gt;"剋"),"中吉","需注意"))</f>
        <v>大吉</v>
      </c>
      <c r="S3" s="3" t="s">
        <v>28</v>
      </c>
      <c r="T3" s="3" t="s">
        <v>28</v>
      </c>
      <c r="U3" s="3" t="s">
        <v>29</v>
      </c>
      <c r="V3" s="3" t="str">
        <f t="shared" ref="V3:V34" si="6">T3&amp;U3</f>
        <v>木火</v>
      </c>
      <c r="W3" s="7" t="s">
        <v>188</v>
      </c>
    </row>
    <row r="4" spans="1:23" ht="19.95" customHeight="1">
      <c r="A4" s="8">
        <v>2</v>
      </c>
      <c r="B4" s="9" t="s">
        <v>189</v>
      </c>
      <c r="C4" s="8" t="s">
        <v>25</v>
      </c>
      <c r="D4" s="8" t="s">
        <v>190</v>
      </c>
      <c r="E4" s="8" t="s">
        <v>191</v>
      </c>
      <c r="F4" s="10">
        <v>7</v>
      </c>
      <c r="G4" s="10">
        <v>8</v>
      </c>
      <c r="H4" s="10">
        <v>10</v>
      </c>
      <c r="I4" s="8">
        <f t="shared" si="0"/>
        <v>8</v>
      </c>
      <c r="J4" s="8">
        <f t="shared" si="1"/>
        <v>15</v>
      </c>
      <c r="K4" s="8">
        <f t="shared" si="2"/>
        <v>18</v>
      </c>
      <c r="L4" s="8">
        <f t="shared" si="3"/>
        <v>11</v>
      </c>
      <c r="M4" s="8">
        <f t="shared" si="4"/>
        <v>25</v>
      </c>
      <c r="N4" s="6" t="str">
        <f>IF(COUNTIF(規則與試算!$A$14:$A$46,I4)+COUNTIF(規則與試算!$A$14:$A$46,J4)+COUNTIF(規則與試算!$A$14:$A$46,K4)+COUNTIF(規則與試算!$A$14:$A$46,L4)+COUNTIF(規則與試算!$A$14:$A$46,M4)=5,"全吉","有凶")</f>
        <v>全吉</v>
      </c>
      <c r="O4" s="8" t="str">
        <f>INDEX(規則與試算!$D$14:$D$23,MOD(I4,10)+1)&amp;INDEX(規則與試算!$D$14:$D$23,MOD(J4,10)+1)&amp;INDEX(規則與試算!$D$14:$D$23,MOD(K4,10)+1)</f>
        <v>金土金</v>
      </c>
      <c r="P4" s="8" t="str">
        <f>INDEX(規則與試算!$G$14:$G$38,MATCH(MID(O4,1,1)&amp;MID(O4,2,1),規則與試算!$F$14:$F$38,0))</f>
        <v>生</v>
      </c>
      <c r="Q4" s="8" t="str">
        <f>INDEX(規則與試算!$G$14:$G$38,MATCH(MID(O4,2,1)&amp;MID(O4,3,1),規則與試算!$F$14:$F$38,0))</f>
        <v>生</v>
      </c>
      <c r="R4" s="6" t="str">
        <f t="shared" si="5"/>
        <v>大吉</v>
      </c>
      <c r="S4" s="8" t="s">
        <v>28</v>
      </c>
      <c r="T4" s="8" t="s">
        <v>28</v>
      </c>
      <c r="U4" s="8" t="s">
        <v>28</v>
      </c>
      <c r="V4" s="8" t="str">
        <f t="shared" si="6"/>
        <v>木木</v>
      </c>
      <c r="W4" s="11" t="s">
        <v>192</v>
      </c>
    </row>
    <row r="5" spans="1:23" ht="19.95" customHeight="1">
      <c r="A5" s="3">
        <v>3</v>
      </c>
      <c r="B5" s="4" t="s">
        <v>193</v>
      </c>
      <c r="C5" s="3" t="s">
        <v>25</v>
      </c>
      <c r="D5" s="3" t="s">
        <v>194</v>
      </c>
      <c r="E5" s="3" t="s">
        <v>195</v>
      </c>
      <c r="F5" s="5">
        <v>7</v>
      </c>
      <c r="G5" s="5">
        <v>8</v>
      </c>
      <c r="H5" s="5">
        <v>10</v>
      </c>
      <c r="I5" s="3">
        <f t="shared" si="0"/>
        <v>8</v>
      </c>
      <c r="J5" s="3">
        <f t="shared" si="1"/>
        <v>15</v>
      </c>
      <c r="K5" s="3">
        <f t="shared" si="2"/>
        <v>18</v>
      </c>
      <c r="L5" s="3">
        <f t="shared" si="3"/>
        <v>11</v>
      </c>
      <c r="M5" s="3">
        <f t="shared" si="4"/>
        <v>25</v>
      </c>
      <c r="N5" s="6" t="str">
        <f>IF(COUNTIF(規則與試算!$A$14:$A$46,I5)+COUNTIF(規則與試算!$A$14:$A$46,J5)+COUNTIF(規則與試算!$A$14:$A$46,K5)+COUNTIF(規則與試算!$A$14:$A$46,L5)+COUNTIF(規則與試算!$A$14:$A$46,M5)=5,"全吉","有凶")</f>
        <v>全吉</v>
      </c>
      <c r="O5" s="3" t="str">
        <f>INDEX(規則與試算!$D$14:$D$23,MOD(I5,10)+1)&amp;INDEX(規則與試算!$D$14:$D$23,MOD(J5,10)+1)&amp;INDEX(規則與試算!$D$14:$D$23,MOD(K5,10)+1)</f>
        <v>金土金</v>
      </c>
      <c r="P5" s="3" t="str">
        <f>INDEX(規則與試算!$G$14:$G$38,MATCH(MID(O5,1,1)&amp;MID(O5,2,1),規則與試算!$F$14:$F$38,0))</f>
        <v>生</v>
      </c>
      <c r="Q5" s="3" t="str">
        <f>INDEX(規則與試算!$G$14:$G$38,MATCH(MID(O5,2,1)&amp;MID(O5,3,1),規則與試算!$F$14:$F$38,0))</f>
        <v>生</v>
      </c>
      <c r="R5" s="6" t="str">
        <f t="shared" si="5"/>
        <v>大吉</v>
      </c>
      <c r="S5" s="3" t="s">
        <v>28</v>
      </c>
      <c r="T5" s="3" t="s">
        <v>39</v>
      </c>
      <c r="U5" s="3" t="s">
        <v>29</v>
      </c>
      <c r="V5" s="3" t="str">
        <f t="shared" si="6"/>
        <v>土火</v>
      </c>
      <c r="W5" s="7" t="s">
        <v>196</v>
      </c>
    </row>
    <row r="6" spans="1:23" ht="19.95" customHeight="1">
      <c r="A6" s="8">
        <v>4</v>
      </c>
      <c r="B6" s="9" t="s">
        <v>197</v>
      </c>
      <c r="C6" s="8" t="s">
        <v>25</v>
      </c>
      <c r="D6" s="8" t="s">
        <v>186</v>
      </c>
      <c r="E6" s="8" t="s">
        <v>198</v>
      </c>
      <c r="F6" s="10">
        <v>7</v>
      </c>
      <c r="G6" s="10">
        <v>8</v>
      </c>
      <c r="H6" s="10">
        <v>10</v>
      </c>
      <c r="I6" s="8">
        <f t="shared" si="0"/>
        <v>8</v>
      </c>
      <c r="J6" s="8">
        <f t="shared" si="1"/>
        <v>15</v>
      </c>
      <c r="K6" s="8">
        <f t="shared" si="2"/>
        <v>18</v>
      </c>
      <c r="L6" s="8">
        <f t="shared" si="3"/>
        <v>11</v>
      </c>
      <c r="M6" s="8">
        <f t="shared" si="4"/>
        <v>25</v>
      </c>
      <c r="N6" s="6" t="str">
        <f>IF(COUNTIF(規則與試算!$A$14:$A$46,I6)+COUNTIF(規則與試算!$A$14:$A$46,J6)+COUNTIF(規則與試算!$A$14:$A$46,K6)+COUNTIF(規則與試算!$A$14:$A$46,L6)+COUNTIF(規則與試算!$A$14:$A$46,M6)=5,"全吉","有凶")</f>
        <v>全吉</v>
      </c>
      <c r="O6" s="8" t="str">
        <f>INDEX(規則與試算!$D$14:$D$23,MOD(I6,10)+1)&amp;INDEX(規則與試算!$D$14:$D$23,MOD(J6,10)+1)&amp;INDEX(規則與試算!$D$14:$D$23,MOD(K6,10)+1)</f>
        <v>金土金</v>
      </c>
      <c r="P6" s="8" t="str">
        <f>INDEX(規則與試算!$G$14:$G$38,MATCH(MID(O6,1,1)&amp;MID(O6,2,1),規則與試算!$F$14:$F$38,0))</f>
        <v>生</v>
      </c>
      <c r="Q6" s="8" t="str">
        <f>INDEX(規則與試算!$G$14:$G$38,MATCH(MID(O6,2,1)&amp;MID(O6,3,1),規則與試算!$F$14:$F$38,0))</f>
        <v>生</v>
      </c>
      <c r="R6" s="6" t="str">
        <f t="shared" si="5"/>
        <v>大吉</v>
      </c>
      <c r="S6" s="8" t="s">
        <v>28</v>
      </c>
      <c r="T6" s="8" t="s">
        <v>28</v>
      </c>
      <c r="U6" s="8" t="s">
        <v>28</v>
      </c>
      <c r="V6" s="8" t="str">
        <f t="shared" si="6"/>
        <v>木木</v>
      </c>
      <c r="W6" s="11" t="s">
        <v>199</v>
      </c>
    </row>
    <row r="7" spans="1:23" ht="19.95" customHeight="1">
      <c r="A7" s="3">
        <v>5</v>
      </c>
      <c r="B7" s="4" t="s">
        <v>200</v>
      </c>
      <c r="C7" s="3" t="s">
        <v>25</v>
      </c>
      <c r="D7" s="3" t="s">
        <v>190</v>
      </c>
      <c r="E7" s="3" t="s">
        <v>187</v>
      </c>
      <c r="F7" s="5">
        <v>7</v>
      </c>
      <c r="G7" s="5">
        <v>8</v>
      </c>
      <c r="H7" s="5">
        <v>10</v>
      </c>
      <c r="I7" s="3">
        <f t="shared" si="0"/>
        <v>8</v>
      </c>
      <c r="J7" s="3">
        <f t="shared" si="1"/>
        <v>15</v>
      </c>
      <c r="K7" s="3">
        <f t="shared" si="2"/>
        <v>18</v>
      </c>
      <c r="L7" s="3">
        <f t="shared" si="3"/>
        <v>11</v>
      </c>
      <c r="M7" s="3">
        <f t="shared" si="4"/>
        <v>25</v>
      </c>
      <c r="N7" s="6" t="str">
        <f>IF(COUNTIF(規則與試算!$A$14:$A$46,I7)+COUNTIF(規則與試算!$A$14:$A$46,J7)+COUNTIF(規則與試算!$A$14:$A$46,K7)+COUNTIF(規則與試算!$A$14:$A$46,L7)+COUNTIF(規則與試算!$A$14:$A$46,M7)=5,"全吉","有凶")</f>
        <v>全吉</v>
      </c>
      <c r="O7" s="3" t="str">
        <f>INDEX(規則與試算!$D$14:$D$23,MOD(I7,10)+1)&amp;INDEX(規則與試算!$D$14:$D$23,MOD(J7,10)+1)&amp;INDEX(規則與試算!$D$14:$D$23,MOD(K7,10)+1)</f>
        <v>金土金</v>
      </c>
      <c r="P7" s="3" t="str">
        <f>INDEX(規則與試算!$G$14:$G$38,MATCH(MID(O7,1,1)&amp;MID(O7,2,1),規則與試算!$F$14:$F$38,0))</f>
        <v>生</v>
      </c>
      <c r="Q7" s="3" t="str">
        <f>INDEX(規則與試算!$G$14:$G$38,MATCH(MID(O7,2,1)&amp;MID(O7,3,1),規則與試算!$F$14:$F$38,0))</f>
        <v>生</v>
      </c>
      <c r="R7" s="6" t="str">
        <f t="shared" si="5"/>
        <v>大吉</v>
      </c>
      <c r="S7" s="3" t="s">
        <v>28</v>
      </c>
      <c r="T7" s="3" t="s">
        <v>28</v>
      </c>
      <c r="U7" s="3" t="s">
        <v>29</v>
      </c>
      <c r="V7" s="3" t="str">
        <f t="shared" si="6"/>
        <v>木火</v>
      </c>
      <c r="W7" s="7" t="s">
        <v>201</v>
      </c>
    </row>
    <row r="8" spans="1:23" ht="19.95" customHeight="1">
      <c r="A8" s="8">
        <v>6</v>
      </c>
      <c r="B8" s="9" t="s">
        <v>202</v>
      </c>
      <c r="C8" s="8" t="s">
        <v>25</v>
      </c>
      <c r="D8" s="8" t="s">
        <v>186</v>
      </c>
      <c r="E8" s="8" t="s">
        <v>203</v>
      </c>
      <c r="F8" s="10">
        <v>7</v>
      </c>
      <c r="G8" s="10">
        <v>8</v>
      </c>
      <c r="H8" s="10">
        <v>16</v>
      </c>
      <c r="I8" s="8">
        <f t="shared" si="0"/>
        <v>8</v>
      </c>
      <c r="J8" s="8">
        <f t="shared" si="1"/>
        <v>15</v>
      </c>
      <c r="K8" s="8">
        <f t="shared" si="2"/>
        <v>24</v>
      </c>
      <c r="L8" s="8">
        <f t="shared" si="3"/>
        <v>17</v>
      </c>
      <c r="M8" s="8">
        <f t="shared" si="4"/>
        <v>31</v>
      </c>
      <c r="N8" s="6" t="str">
        <f>IF(COUNTIF(規則與試算!$A$14:$A$46,I8)+COUNTIF(規則與試算!$A$14:$A$46,J8)+COUNTIF(規則與試算!$A$14:$A$46,K8)+COUNTIF(規則與試算!$A$14:$A$46,L8)+COUNTIF(規則與試算!$A$14:$A$46,M8)=5,"全吉","有凶")</f>
        <v>全吉</v>
      </c>
      <c r="O8" s="8" t="str">
        <f>INDEX(規則與試算!$D$14:$D$23,MOD(I8,10)+1)&amp;INDEX(規則與試算!$D$14:$D$23,MOD(J8,10)+1)&amp;INDEX(規則與試算!$D$14:$D$23,MOD(K8,10)+1)</f>
        <v>金土火</v>
      </c>
      <c r="P8" s="8" t="str">
        <f>INDEX(規則與試算!$G$14:$G$38,MATCH(MID(O8,1,1)&amp;MID(O8,2,1),規則與試算!$F$14:$F$38,0))</f>
        <v>生</v>
      </c>
      <c r="Q8" s="8" t="str">
        <f>INDEX(規則與試算!$G$14:$G$38,MATCH(MID(O8,2,1)&amp;MID(O8,3,1),規則與試算!$F$14:$F$38,0))</f>
        <v>生</v>
      </c>
      <c r="R8" s="6" t="str">
        <f t="shared" si="5"/>
        <v>大吉</v>
      </c>
      <c r="S8" s="8" t="s">
        <v>28</v>
      </c>
      <c r="T8" s="8" t="s">
        <v>28</v>
      </c>
      <c r="U8" s="8" t="s">
        <v>28</v>
      </c>
      <c r="V8" s="8" t="str">
        <f t="shared" si="6"/>
        <v>木木</v>
      </c>
      <c r="W8" s="11" t="s">
        <v>204</v>
      </c>
    </row>
    <row r="9" spans="1:23" ht="19.95" customHeight="1">
      <c r="A9" s="3">
        <v>7</v>
      </c>
      <c r="B9" s="4" t="s">
        <v>205</v>
      </c>
      <c r="C9" s="3" t="s">
        <v>25</v>
      </c>
      <c r="D9" s="3" t="s">
        <v>190</v>
      </c>
      <c r="E9" s="3" t="s">
        <v>206</v>
      </c>
      <c r="F9" s="5">
        <v>7</v>
      </c>
      <c r="G9" s="5">
        <v>8</v>
      </c>
      <c r="H9" s="5">
        <v>16</v>
      </c>
      <c r="I9" s="3">
        <f t="shared" si="0"/>
        <v>8</v>
      </c>
      <c r="J9" s="3">
        <f t="shared" si="1"/>
        <v>15</v>
      </c>
      <c r="K9" s="3">
        <f t="shared" si="2"/>
        <v>24</v>
      </c>
      <c r="L9" s="3">
        <f t="shared" si="3"/>
        <v>17</v>
      </c>
      <c r="M9" s="3">
        <f t="shared" si="4"/>
        <v>31</v>
      </c>
      <c r="N9" s="6" t="str">
        <f>IF(COUNTIF(規則與試算!$A$14:$A$46,I9)+COUNTIF(規則與試算!$A$14:$A$46,J9)+COUNTIF(規則與試算!$A$14:$A$46,K9)+COUNTIF(規則與試算!$A$14:$A$46,L9)+COUNTIF(規則與試算!$A$14:$A$46,M9)=5,"全吉","有凶")</f>
        <v>全吉</v>
      </c>
      <c r="O9" s="3" t="str">
        <f>INDEX(規則與試算!$D$14:$D$23,MOD(I9,10)+1)&amp;INDEX(規則與試算!$D$14:$D$23,MOD(J9,10)+1)&amp;INDEX(規則與試算!$D$14:$D$23,MOD(K9,10)+1)</f>
        <v>金土火</v>
      </c>
      <c r="P9" s="3" t="str">
        <f>INDEX(規則與試算!$G$14:$G$38,MATCH(MID(O9,1,1)&amp;MID(O9,2,1),規則與試算!$F$14:$F$38,0))</f>
        <v>生</v>
      </c>
      <c r="Q9" s="3" t="str">
        <f>INDEX(規則與試算!$G$14:$G$38,MATCH(MID(O9,2,1)&amp;MID(O9,3,1),規則與試算!$F$14:$F$38,0))</f>
        <v>生</v>
      </c>
      <c r="R9" s="6" t="str">
        <f t="shared" si="5"/>
        <v>大吉</v>
      </c>
      <c r="S9" s="3" t="s">
        <v>28</v>
      </c>
      <c r="T9" s="3" t="s">
        <v>28</v>
      </c>
      <c r="U9" s="3" t="s">
        <v>28</v>
      </c>
      <c r="V9" s="3" t="str">
        <f t="shared" si="6"/>
        <v>木木</v>
      </c>
      <c r="W9" s="7" t="s">
        <v>207</v>
      </c>
    </row>
    <row r="10" spans="1:23" ht="19.95" customHeight="1">
      <c r="A10" s="8">
        <v>8</v>
      </c>
      <c r="B10" s="9" t="s">
        <v>208</v>
      </c>
      <c r="C10" s="8" t="s">
        <v>25</v>
      </c>
      <c r="D10" s="8" t="s">
        <v>194</v>
      </c>
      <c r="E10" s="8" t="s">
        <v>203</v>
      </c>
      <c r="F10" s="10">
        <v>7</v>
      </c>
      <c r="G10" s="10">
        <v>8</v>
      </c>
      <c r="H10" s="10">
        <v>16</v>
      </c>
      <c r="I10" s="8">
        <f t="shared" si="0"/>
        <v>8</v>
      </c>
      <c r="J10" s="8">
        <f t="shared" si="1"/>
        <v>15</v>
      </c>
      <c r="K10" s="8">
        <f t="shared" si="2"/>
        <v>24</v>
      </c>
      <c r="L10" s="8">
        <f t="shared" si="3"/>
        <v>17</v>
      </c>
      <c r="M10" s="8">
        <f t="shared" si="4"/>
        <v>31</v>
      </c>
      <c r="N10" s="6" t="str">
        <f>IF(COUNTIF(規則與試算!$A$14:$A$46,I10)+COUNTIF(規則與試算!$A$14:$A$46,J10)+COUNTIF(規則與試算!$A$14:$A$46,K10)+COUNTIF(規則與試算!$A$14:$A$46,L10)+COUNTIF(規則與試算!$A$14:$A$46,M10)=5,"全吉","有凶")</f>
        <v>全吉</v>
      </c>
      <c r="O10" s="8" t="str">
        <f>INDEX(規則與試算!$D$14:$D$23,MOD(I10,10)+1)&amp;INDEX(規則與試算!$D$14:$D$23,MOD(J10,10)+1)&amp;INDEX(規則與試算!$D$14:$D$23,MOD(K10,10)+1)</f>
        <v>金土火</v>
      </c>
      <c r="P10" s="8" t="str">
        <f>INDEX(規則與試算!$G$14:$G$38,MATCH(MID(O10,1,1)&amp;MID(O10,2,1),規則與試算!$F$14:$F$38,0))</f>
        <v>生</v>
      </c>
      <c r="Q10" s="8" t="str">
        <f>INDEX(規則與試算!$G$14:$G$38,MATCH(MID(O10,2,1)&amp;MID(O10,3,1),規則與試算!$F$14:$F$38,0))</f>
        <v>生</v>
      </c>
      <c r="R10" s="6" t="str">
        <f t="shared" si="5"/>
        <v>大吉</v>
      </c>
      <c r="S10" s="8" t="s">
        <v>28</v>
      </c>
      <c r="T10" s="8" t="s">
        <v>39</v>
      </c>
      <c r="U10" s="8" t="s">
        <v>28</v>
      </c>
      <c r="V10" s="8" t="str">
        <f t="shared" si="6"/>
        <v>土木</v>
      </c>
      <c r="W10" s="11" t="s">
        <v>209</v>
      </c>
    </row>
    <row r="11" spans="1:23" ht="19.95" customHeight="1">
      <c r="A11" s="3">
        <v>9</v>
      </c>
      <c r="B11" s="4" t="s">
        <v>210</v>
      </c>
      <c r="C11" s="3" t="s">
        <v>25</v>
      </c>
      <c r="D11" s="3" t="s">
        <v>186</v>
      </c>
      <c r="E11" s="3" t="s">
        <v>211</v>
      </c>
      <c r="F11" s="5">
        <v>7</v>
      </c>
      <c r="G11" s="5">
        <v>8</v>
      </c>
      <c r="H11" s="5">
        <v>16</v>
      </c>
      <c r="I11" s="3">
        <f t="shared" si="0"/>
        <v>8</v>
      </c>
      <c r="J11" s="3">
        <f t="shared" si="1"/>
        <v>15</v>
      </c>
      <c r="K11" s="3">
        <f t="shared" si="2"/>
        <v>24</v>
      </c>
      <c r="L11" s="3">
        <f t="shared" si="3"/>
        <v>17</v>
      </c>
      <c r="M11" s="3">
        <f t="shared" si="4"/>
        <v>31</v>
      </c>
      <c r="N11" s="6" t="str">
        <f>IF(COUNTIF(規則與試算!$A$14:$A$46,I11)+COUNTIF(規則與試算!$A$14:$A$46,J11)+COUNTIF(規則與試算!$A$14:$A$46,K11)+COUNTIF(規則與試算!$A$14:$A$46,L11)+COUNTIF(規則與試算!$A$14:$A$46,M11)=5,"全吉","有凶")</f>
        <v>全吉</v>
      </c>
      <c r="O11" s="3" t="str">
        <f>INDEX(規則與試算!$D$14:$D$23,MOD(I11,10)+1)&amp;INDEX(規則與試算!$D$14:$D$23,MOD(J11,10)+1)&amp;INDEX(規則與試算!$D$14:$D$23,MOD(K11,10)+1)</f>
        <v>金土火</v>
      </c>
      <c r="P11" s="3" t="str">
        <f>INDEX(規則與試算!$G$14:$G$38,MATCH(MID(O11,1,1)&amp;MID(O11,2,1),規則與試算!$F$14:$F$38,0))</f>
        <v>生</v>
      </c>
      <c r="Q11" s="3" t="str">
        <f>INDEX(規則與試算!$G$14:$G$38,MATCH(MID(O11,2,1)&amp;MID(O11,3,1),規則與試算!$F$14:$F$38,0))</f>
        <v>生</v>
      </c>
      <c r="R11" s="6" t="str">
        <f t="shared" si="5"/>
        <v>大吉</v>
      </c>
      <c r="S11" s="3" t="s">
        <v>28</v>
      </c>
      <c r="T11" s="3" t="s">
        <v>28</v>
      </c>
      <c r="U11" s="3" t="s">
        <v>51</v>
      </c>
      <c r="V11" s="3" t="str">
        <f t="shared" si="6"/>
        <v>木水</v>
      </c>
      <c r="W11" s="7" t="s">
        <v>212</v>
      </c>
    </row>
    <row r="12" spans="1:23" ht="19.95" customHeight="1">
      <c r="A12" s="8">
        <v>10</v>
      </c>
      <c r="B12" s="9" t="s">
        <v>213</v>
      </c>
      <c r="C12" s="8" t="s">
        <v>25</v>
      </c>
      <c r="D12" s="8" t="s">
        <v>186</v>
      </c>
      <c r="E12" s="8" t="s">
        <v>214</v>
      </c>
      <c r="F12" s="10">
        <v>7</v>
      </c>
      <c r="G12" s="10">
        <v>8</v>
      </c>
      <c r="H12" s="10">
        <v>17</v>
      </c>
      <c r="I12" s="8">
        <f t="shared" si="0"/>
        <v>8</v>
      </c>
      <c r="J12" s="8">
        <f t="shared" si="1"/>
        <v>15</v>
      </c>
      <c r="K12" s="8">
        <f t="shared" si="2"/>
        <v>25</v>
      </c>
      <c r="L12" s="8">
        <f t="shared" si="3"/>
        <v>18</v>
      </c>
      <c r="M12" s="8">
        <f t="shared" si="4"/>
        <v>32</v>
      </c>
      <c r="N12" s="6" t="str">
        <f>IF(COUNTIF(規則與試算!$A$14:$A$46,I12)+COUNTIF(規則與試算!$A$14:$A$46,J12)+COUNTIF(規則與試算!$A$14:$A$46,K12)+COUNTIF(規則與試算!$A$14:$A$46,L12)+COUNTIF(規則與試算!$A$14:$A$46,M12)=5,"全吉","有凶")</f>
        <v>全吉</v>
      </c>
      <c r="O12" s="8" t="str">
        <f>INDEX(規則與試算!$D$14:$D$23,MOD(I12,10)+1)&amp;INDEX(規則與試算!$D$14:$D$23,MOD(J12,10)+1)&amp;INDEX(規則與試算!$D$14:$D$23,MOD(K12,10)+1)</f>
        <v>金土土</v>
      </c>
      <c r="P12" s="8" t="str">
        <f>INDEX(規則與試算!$G$14:$G$38,MATCH(MID(O12,1,1)&amp;MID(O12,2,1),規則與試算!$F$14:$F$38,0))</f>
        <v>生</v>
      </c>
      <c r="Q12" s="8" t="str">
        <f>INDEX(規則與試算!$G$14:$G$38,MATCH(MID(O12,2,1)&amp;MID(O12,3,1),規則與試算!$F$14:$F$38,0))</f>
        <v>比和</v>
      </c>
      <c r="R12" s="6" t="str">
        <f t="shared" si="5"/>
        <v>大吉</v>
      </c>
      <c r="S12" s="8" t="s">
        <v>28</v>
      </c>
      <c r="T12" s="8" t="s">
        <v>28</v>
      </c>
      <c r="U12" s="8" t="s">
        <v>39</v>
      </c>
      <c r="V12" s="8" t="str">
        <f t="shared" si="6"/>
        <v>木土</v>
      </c>
      <c r="W12" s="11" t="s">
        <v>215</v>
      </c>
    </row>
    <row r="13" spans="1:23" ht="19.95" customHeight="1">
      <c r="A13" s="3">
        <v>11</v>
      </c>
      <c r="B13" s="4" t="s">
        <v>216</v>
      </c>
      <c r="C13" s="3" t="s">
        <v>25</v>
      </c>
      <c r="D13" s="3" t="s">
        <v>190</v>
      </c>
      <c r="E13" s="3" t="s">
        <v>217</v>
      </c>
      <c r="F13" s="5">
        <v>7</v>
      </c>
      <c r="G13" s="5">
        <v>8</v>
      </c>
      <c r="H13" s="5">
        <v>17</v>
      </c>
      <c r="I13" s="3">
        <f t="shared" si="0"/>
        <v>8</v>
      </c>
      <c r="J13" s="3">
        <f t="shared" si="1"/>
        <v>15</v>
      </c>
      <c r="K13" s="3">
        <f t="shared" si="2"/>
        <v>25</v>
      </c>
      <c r="L13" s="3">
        <f t="shared" si="3"/>
        <v>18</v>
      </c>
      <c r="M13" s="3">
        <f t="shared" si="4"/>
        <v>32</v>
      </c>
      <c r="N13" s="6" t="str">
        <f>IF(COUNTIF(規則與試算!$A$14:$A$46,I13)+COUNTIF(規則與試算!$A$14:$A$46,J13)+COUNTIF(規則與試算!$A$14:$A$46,K13)+COUNTIF(規則與試算!$A$14:$A$46,L13)+COUNTIF(規則與試算!$A$14:$A$46,M13)=5,"全吉","有凶")</f>
        <v>全吉</v>
      </c>
      <c r="O13" s="3" t="str">
        <f>INDEX(規則與試算!$D$14:$D$23,MOD(I13,10)+1)&amp;INDEX(規則與試算!$D$14:$D$23,MOD(J13,10)+1)&amp;INDEX(規則與試算!$D$14:$D$23,MOD(K13,10)+1)</f>
        <v>金土土</v>
      </c>
      <c r="P13" s="3" t="str">
        <f>INDEX(規則與試算!$G$14:$G$38,MATCH(MID(O13,1,1)&amp;MID(O13,2,1),規則與試算!$F$14:$F$38,0))</f>
        <v>生</v>
      </c>
      <c r="Q13" s="3" t="str">
        <f>INDEX(規則與試算!$G$14:$G$38,MATCH(MID(O13,2,1)&amp;MID(O13,3,1),規則與試算!$F$14:$F$38,0))</f>
        <v>比和</v>
      </c>
      <c r="R13" s="6" t="str">
        <f t="shared" si="5"/>
        <v>大吉</v>
      </c>
      <c r="S13" s="3" t="s">
        <v>28</v>
      </c>
      <c r="T13" s="3" t="s">
        <v>28</v>
      </c>
      <c r="U13" s="3" t="s">
        <v>51</v>
      </c>
      <c r="V13" s="3" t="str">
        <f t="shared" si="6"/>
        <v>木水</v>
      </c>
      <c r="W13" s="7" t="s">
        <v>218</v>
      </c>
    </row>
    <row r="14" spans="1:23" ht="19.95" customHeight="1">
      <c r="A14" s="8">
        <v>12</v>
      </c>
      <c r="B14" s="9" t="s">
        <v>219</v>
      </c>
      <c r="C14" s="8" t="s">
        <v>25</v>
      </c>
      <c r="D14" s="8" t="s">
        <v>220</v>
      </c>
      <c r="E14" s="8" t="s">
        <v>221</v>
      </c>
      <c r="F14" s="10">
        <v>7</v>
      </c>
      <c r="G14" s="10">
        <v>9</v>
      </c>
      <c r="H14" s="10">
        <v>7</v>
      </c>
      <c r="I14" s="8">
        <f t="shared" si="0"/>
        <v>8</v>
      </c>
      <c r="J14" s="8">
        <f t="shared" si="1"/>
        <v>16</v>
      </c>
      <c r="K14" s="8">
        <f t="shared" si="2"/>
        <v>16</v>
      </c>
      <c r="L14" s="8">
        <f t="shared" si="3"/>
        <v>8</v>
      </c>
      <c r="M14" s="8">
        <f t="shared" si="4"/>
        <v>23</v>
      </c>
      <c r="N14" s="6" t="str">
        <f>IF(COUNTIF(規則與試算!$A$14:$A$46,I14)+COUNTIF(規則與試算!$A$14:$A$46,J14)+COUNTIF(規則與試算!$A$14:$A$46,K14)+COUNTIF(規則與試算!$A$14:$A$46,L14)+COUNTIF(規則與試算!$A$14:$A$46,M14)=5,"全吉","有凶")</f>
        <v>全吉</v>
      </c>
      <c r="O14" s="8" t="str">
        <f>INDEX(規則與試算!$D$14:$D$23,MOD(I14,10)+1)&amp;INDEX(規則與試算!$D$14:$D$23,MOD(J14,10)+1)&amp;INDEX(規則與試算!$D$14:$D$23,MOD(K14,10)+1)</f>
        <v>金土土</v>
      </c>
      <c r="P14" s="8" t="str">
        <f>INDEX(規則與試算!$G$14:$G$38,MATCH(MID(O14,1,1)&amp;MID(O14,2,1),規則與試算!$F$14:$F$38,0))</f>
        <v>生</v>
      </c>
      <c r="Q14" s="8" t="str">
        <f>INDEX(規則與試算!$G$14:$G$38,MATCH(MID(O14,2,1)&amp;MID(O14,3,1),規則與試算!$F$14:$F$38,0))</f>
        <v>比和</v>
      </c>
      <c r="R14" s="6" t="str">
        <f t="shared" si="5"/>
        <v>大吉</v>
      </c>
      <c r="S14" s="8" t="s">
        <v>28</v>
      </c>
      <c r="T14" s="8" t="s">
        <v>29</v>
      </c>
      <c r="U14" s="8" t="s">
        <v>51</v>
      </c>
      <c r="V14" s="8" t="str">
        <f t="shared" si="6"/>
        <v>火水</v>
      </c>
      <c r="W14" s="11" t="s">
        <v>222</v>
      </c>
    </row>
    <row r="15" spans="1:23" ht="19.95" customHeight="1">
      <c r="A15" s="3">
        <v>13</v>
      </c>
      <c r="B15" s="4" t="s">
        <v>223</v>
      </c>
      <c r="C15" s="3" t="s">
        <v>25</v>
      </c>
      <c r="D15" s="3" t="s">
        <v>224</v>
      </c>
      <c r="E15" s="3" t="s">
        <v>225</v>
      </c>
      <c r="F15" s="5">
        <v>7</v>
      </c>
      <c r="G15" s="5">
        <v>9</v>
      </c>
      <c r="H15" s="5">
        <v>7</v>
      </c>
      <c r="I15" s="3">
        <f t="shared" si="0"/>
        <v>8</v>
      </c>
      <c r="J15" s="3">
        <f t="shared" si="1"/>
        <v>16</v>
      </c>
      <c r="K15" s="3">
        <f t="shared" si="2"/>
        <v>16</v>
      </c>
      <c r="L15" s="3">
        <f t="shared" si="3"/>
        <v>8</v>
      </c>
      <c r="M15" s="3">
        <f t="shared" si="4"/>
        <v>23</v>
      </c>
      <c r="N15" s="6" t="str">
        <f>IF(COUNTIF(規則與試算!$A$14:$A$46,I15)+COUNTIF(規則與試算!$A$14:$A$46,J15)+COUNTIF(規則與試算!$A$14:$A$46,K15)+COUNTIF(規則與試算!$A$14:$A$46,L15)+COUNTIF(規則與試算!$A$14:$A$46,M15)=5,"全吉","有凶")</f>
        <v>全吉</v>
      </c>
      <c r="O15" s="3" t="str">
        <f>INDEX(規則與試算!$D$14:$D$23,MOD(I15,10)+1)&amp;INDEX(規則與試算!$D$14:$D$23,MOD(J15,10)+1)&amp;INDEX(規則與試算!$D$14:$D$23,MOD(K15,10)+1)</f>
        <v>金土土</v>
      </c>
      <c r="P15" s="3" t="str">
        <f>INDEX(規則與試算!$G$14:$G$38,MATCH(MID(O15,1,1)&amp;MID(O15,2,1),規則與試算!$F$14:$F$38,0))</f>
        <v>生</v>
      </c>
      <c r="Q15" s="3" t="str">
        <f>INDEX(規則與試算!$G$14:$G$38,MATCH(MID(O15,2,1)&amp;MID(O15,3,1),規則與試算!$F$14:$F$38,0))</f>
        <v>比和</v>
      </c>
      <c r="R15" s="6" t="str">
        <f t="shared" si="5"/>
        <v>大吉</v>
      </c>
      <c r="S15" s="3" t="s">
        <v>28</v>
      </c>
      <c r="T15" s="3" t="s">
        <v>29</v>
      </c>
      <c r="U15" s="3" t="s">
        <v>29</v>
      </c>
      <c r="V15" s="3" t="str">
        <f t="shared" si="6"/>
        <v>火火</v>
      </c>
      <c r="W15" s="7" t="s">
        <v>226</v>
      </c>
    </row>
    <row r="16" spans="1:23" ht="19.95" customHeight="1">
      <c r="A16" s="8">
        <v>14</v>
      </c>
      <c r="B16" s="9" t="s">
        <v>227</v>
      </c>
      <c r="C16" s="8" t="s">
        <v>25</v>
      </c>
      <c r="D16" s="8" t="s">
        <v>228</v>
      </c>
      <c r="E16" s="8" t="s">
        <v>225</v>
      </c>
      <c r="F16" s="10">
        <v>7</v>
      </c>
      <c r="G16" s="10">
        <v>9</v>
      </c>
      <c r="H16" s="10">
        <v>7</v>
      </c>
      <c r="I16" s="8">
        <f t="shared" si="0"/>
        <v>8</v>
      </c>
      <c r="J16" s="8">
        <f t="shared" si="1"/>
        <v>16</v>
      </c>
      <c r="K16" s="8">
        <f t="shared" si="2"/>
        <v>16</v>
      </c>
      <c r="L16" s="8">
        <f t="shared" si="3"/>
        <v>8</v>
      </c>
      <c r="M16" s="8">
        <f t="shared" si="4"/>
        <v>23</v>
      </c>
      <c r="N16" s="6" t="str">
        <f>IF(COUNTIF(規則與試算!$A$14:$A$46,I16)+COUNTIF(規則與試算!$A$14:$A$46,J16)+COUNTIF(規則與試算!$A$14:$A$46,K16)+COUNTIF(規則與試算!$A$14:$A$46,L16)+COUNTIF(規則與試算!$A$14:$A$46,M16)=5,"全吉","有凶")</f>
        <v>全吉</v>
      </c>
      <c r="O16" s="8" t="str">
        <f>INDEX(規則與試算!$D$14:$D$23,MOD(I16,10)+1)&amp;INDEX(規則與試算!$D$14:$D$23,MOD(J16,10)+1)&amp;INDEX(規則與試算!$D$14:$D$23,MOD(K16,10)+1)</f>
        <v>金土土</v>
      </c>
      <c r="P16" s="8" t="str">
        <f>INDEX(規則與試算!$G$14:$G$38,MATCH(MID(O16,1,1)&amp;MID(O16,2,1),規則與試算!$F$14:$F$38,0))</f>
        <v>生</v>
      </c>
      <c r="Q16" s="8" t="str">
        <f>INDEX(規則與試算!$G$14:$G$38,MATCH(MID(O16,2,1)&amp;MID(O16,3,1),規則與試算!$F$14:$F$38,0))</f>
        <v>比和</v>
      </c>
      <c r="R16" s="6" t="str">
        <f t="shared" si="5"/>
        <v>大吉</v>
      </c>
      <c r="S16" s="8" t="s">
        <v>28</v>
      </c>
      <c r="T16" s="8" t="s">
        <v>39</v>
      </c>
      <c r="U16" s="8" t="s">
        <v>29</v>
      </c>
      <c r="V16" s="8" t="str">
        <f t="shared" si="6"/>
        <v>土火</v>
      </c>
      <c r="W16" s="11" t="s">
        <v>229</v>
      </c>
    </row>
    <row r="17" spans="1:23" ht="19.95" customHeight="1">
      <c r="A17" s="3">
        <v>15</v>
      </c>
      <c r="B17" s="4" t="s">
        <v>230</v>
      </c>
      <c r="C17" s="3" t="s">
        <v>25</v>
      </c>
      <c r="D17" s="3" t="s">
        <v>231</v>
      </c>
      <c r="E17" s="3" t="s">
        <v>221</v>
      </c>
      <c r="F17" s="5">
        <v>7</v>
      </c>
      <c r="G17" s="5">
        <v>9</v>
      </c>
      <c r="H17" s="5">
        <v>7</v>
      </c>
      <c r="I17" s="3">
        <f t="shared" si="0"/>
        <v>8</v>
      </c>
      <c r="J17" s="3">
        <f t="shared" si="1"/>
        <v>16</v>
      </c>
      <c r="K17" s="3">
        <f t="shared" si="2"/>
        <v>16</v>
      </c>
      <c r="L17" s="3">
        <f t="shared" si="3"/>
        <v>8</v>
      </c>
      <c r="M17" s="3">
        <f t="shared" si="4"/>
        <v>23</v>
      </c>
      <c r="N17" s="6" t="str">
        <f>IF(COUNTIF(規則與試算!$A$14:$A$46,I17)+COUNTIF(規則與試算!$A$14:$A$46,J17)+COUNTIF(規則與試算!$A$14:$A$46,K17)+COUNTIF(規則與試算!$A$14:$A$46,L17)+COUNTIF(規則與試算!$A$14:$A$46,M17)=5,"全吉","有凶")</f>
        <v>全吉</v>
      </c>
      <c r="O17" s="3" t="str">
        <f>INDEX(規則與試算!$D$14:$D$23,MOD(I17,10)+1)&amp;INDEX(規則與試算!$D$14:$D$23,MOD(J17,10)+1)&amp;INDEX(規則與試算!$D$14:$D$23,MOD(K17,10)+1)</f>
        <v>金土土</v>
      </c>
      <c r="P17" s="3" t="str">
        <f>INDEX(規則與試算!$G$14:$G$38,MATCH(MID(O17,1,1)&amp;MID(O17,2,1),規則與試算!$F$14:$F$38,0))</f>
        <v>生</v>
      </c>
      <c r="Q17" s="3" t="str">
        <f>INDEX(規則與試算!$G$14:$G$38,MATCH(MID(O17,2,1)&amp;MID(O17,3,1),規則與試算!$F$14:$F$38,0))</f>
        <v>比和</v>
      </c>
      <c r="R17" s="6" t="str">
        <f t="shared" si="5"/>
        <v>大吉</v>
      </c>
      <c r="S17" s="3" t="s">
        <v>28</v>
      </c>
      <c r="T17" s="3" t="s">
        <v>28</v>
      </c>
      <c r="U17" s="3" t="s">
        <v>51</v>
      </c>
      <c r="V17" s="3" t="str">
        <f t="shared" si="6"/>
        <v>木水</v>
      </c>
      <c r="W17" s="7" t="s">
        <v>232</v>
      </c>
    </row>
    <row r="18" spans="1:23" ht="19.95" customHeight="1">
      <c r="A18" s="8">
        <v>16</v>
      </c>
      <c r="B18" s="9" t="s">
        <v>233</v>
      </c>
      <c r="C18" s="8" t="s">
        <v>25</v>
      </c>
      <c r="D18" s="8" t="s">
        <v>234</v>
      </c>
      <c r="E18" s="8" t="s">
        <v>235</v>
      </c>
      <c r="F18" s="10">
        <v>7</v>
      </c>
      <c r="G18" s="10">
        <v>9</v>
      </c>
      <c r="H18" s="10">
        <v>7</v>
      </c>
      <c r="I18" s="8">
        <f t="shared" si="0"/>
        <v>8</v>
      </c>
      <c r="J18" s="8">
        <f t="shared" si="1"/>
        <v>16</v>
      </c>
      <c r="K18" s="8">
        <f t="shared" si="2"/>
        <v>16</v>
      </c>
      <c r="L18" s="8">
        <f t="shared" si="3"/>
        <v>8</v>
      </c>
      <c r="M18" s="8">
        <f t="shared" si="4"/>
        <v>23</v>
      </c>
      <c r="N18" s="6" t="str">
        <f>IF(COUNTIF(規則與試算!$A$14:$A$46,I18)+COUNTIF(規則與試算!$A$14:$A$46,J18)+COUNTIF(規則與試算!$A$14:$A$46,K18)+COUNTIF(規則與試算!$A$14:$A$46,L18)+COUNTIF(規則與試算!$A$14:$A$46,M18)=5,"全吉","有凶")</f>
        <v>全吉</v>
      </c>
      <c r="O18" s="8" t="str">
        <f>INDEX(規則與試算!$D$14:$D$23,MOD(I18,10)+1)&amp;INDEX(規則與試算!$D$14:$D$23,MOD(J18,10)+1)&amp;INDEX(規則與試算!$D$14:$D$23,MOD(K18,10)+1)</f>
        <v>金土土</v>
      </c>
      <c r="P18" s="8" t="str">
        <f>INDEX(規則與試算!$G$14:$G$38,MATCH(MID(O18,1,1)&amp;MID(O18,2,1),規則與試算!$F$14:$F$38,0))</f>
        <v>生</v>
      </c>
      <c r="Q18" s="8" t="str">
        <f>INDEX(規則與試算!$G$14:$G$38,MATCH(MID(O18,2,1)&amp;MID(O18,3,1),規則與試算!$F$14:$F$38,0))</f>
        <v>比和</v>
      </c>
      <c r="R18" s="6" t="str">
        <f t="shared" si="5"/>
        <v>大吉</v>
      </c>
      <c r="S18" s="8" t="s">
        <v>28</v>
      </c>
      <c r="T18" s="8" t="s">
        <v>51</v>
      </c>
      <c r="U18" s="8" t="s">
        <v>51</v>
      </c>
      <c r="V18" s="8" t="str">
        <f t="shared" si="6"/>
        <v>水水</v>
      </c>
      <c r="W18" s="11" t="s">
        <v>236</v>
      </c>
    </row>
    <row r="19" spans="1:23" ht="19.95" customHeight="1">
      <c r="A19" s="3">
        <v>17</v>
      </c>
      <c r="B19" s="4" t="s">
        <v>237</v>
      </c>
      <c r="C19" s="3" t="s">
        <v>25</v>
      </c>
      <c r="D19" s="3" t="s">
        <v>228</v>
      </c>
      <c r="E19" s="3" t="s">
        <v>238</v>
      </c>
      <c r="F19" s="5">
        <v>7</v>
      </c>
      <c r="G19" s="5">
        <v>9</v>
      </c>
      <c r="H19" s="5">
        <v>15</v>
      </c>
      <c r="I19" s="3">
        <f t="shared" si="0"/>
        <v>8</v>
      </c>
      <c r="J19" s="3">
        <f t="shared" si="1"/>
        <v>16</v>
      </c>
      <c r="K19" s="3">
        <f t="shared" si="2"/>
        <v>24</v>
      </c>
      <c r="L19" s="3">
        <f t="shared" si="3"/>
        <v>16</v>
      </c>
      <c r="M19" s="3">
        <f t="shared" si="4"/>
        <v>31</v>
      </c>
      <c r="N19" s="6" t="str">
        <f>IF(COUNTIF(規則與試算!$A$14:$A$46,I19)+COUNTIF(規則與試算!$A$14:$A$46,J19)+COUNTIF(規則與試算!$A$14:$A$46,K19)+COUNTIF(規則與試算!$A$14:$A$46,L19)+COUNTIF(規則與試算!$A$14:$A$46,M19)=5,"全吉","有凶")</f>
        <v>全吉</v>
      </c>
      <c r="O19" s="3" t="str">
        <f>INDEX(規則與試算!$D$14:$D$23,MOD(I19,10)+1)&amp;INDEX(規則與試算!$D$14:$D$23,MOD(J19,10)+1)&amp;INDEX(規則與試算!$D$14:$D$23,MOD(K19,10)+1)</f>
        <v>金土火</v>
      </c>
      <c r="P19" s="3" t="str">
        <f>INDEX(規則與試算!$G$14:$G$38,MATCH(MID(O19,1,1)&amp;MID(O19,2,1),規則與試算!$F$14:$F$38,0))</f>
        <v>生</v>
      </c>
      <c r="Q19" s="3" t="str">
        <f>INDEX(規則與試算!$G$14:$G$38,MATCH(MID(O19,2,1)&amp;MID(O19,3,1),規則與試算!$F$14:$F$38,0))</f>
        <v>生</v>
      </c>
      <c r="R19" s="6" t="str">
        <f t="shared" si="5"/>
        <v>大吉</v>
      </c>
      <c r="S19" s="3" t="s">
        <v>28</v>
      </c>
      <c r="T19" s="3" t="s">
        <v>39</v>
      </c>
      <c r="U19" s="3" t="s">
        <v>28</v>
      </c>
      <c r="V19" s="3" t="str">
        <f t="shared" si="6"/>
        <v>土木</v>
      </c>
      <c r="W19" s="7" t="s">
        <v>239</v>
      </c>
    </row>
    <row r="20" spans="1:23" ht="19.95" customHeight="1">
      <c r="A20" s="8">
        <v>18</v>
      </c>
      <c r="B20" s="9" t="s">
        <v>240</v>
      </c>
      <c r="C20" s="8" t="s">
        <v>25</v>
      </c>
      <c r="D20" s="8" t="s">
        <v>220</v>
      </c>
      <c r="E20" s="8" t="s">
        <v>241</v>
      </c>
      <c r="F20" s="10">
        <v>7</v>
      </c>
      <c r="G20" s="10">
        <v>9</v>
      </c>
      <c r="H20" s="10">
        <v>15</v>
      </c>
      <c r="I20" s="8">
        <f t="shared" si="0"/>
        <v>8</v>
      </c>
      <c r="J20" s="8">
        <f t="shared" si="1"/>
        <v>16</v>
      </c>
      <c r="K20" s="8">
        <f t="shared" si="2"/>
        <v>24</v>
      </c>
      <c r="L20" s="8">
        <f t="shared" si="3"/>
        <v>16</v>
      </c>
      <c r="M20" s="8">
        <f t="shared" si="4"/>
        <v>31</v>
      </c>
      <c r="N20" s="6" t="str">
        <f>IF(COUNTIF(規則與試算!$A$14:$A$46,I20)+COUNTIF(規則與試算!$A$14:$A$46,J20)+COUNTIF(規則與試算!$A$14:$A$46,K20)+COUNTIF(規則與試算!$A$14:$A$46,L20)+COUNTIF(規則與試算!$A$14:$A$46,M20)=5,"全吉","有凶")</f>
        <v>全吉</v>
      </c>
      <c r="O20" s="8" t="str">
        <f>INDEX(規則與試算!$D$14:$D$23,MOD(I20,10)+1)&amp;INDEX(規則與試算!$D$14:$D$23,MOD(J20,10)+1)&amp;INDEX(規則與試算!$D$14:$D$23,MOD(K20,10)+1)</f>
        <v>金土火</v>
      </c>
      <c r="P20" s="8" t="str">
        <f>INDEX(規則與試算!$G$14:$G$38,MATCH(MID(O20,1,1)&amp;MID(O20,2,1),規則與試算!$F$14:$F$38,0))</f>
        <v>生</v>
      </c>
      <c r="Q20" s="8" t="str">
        <f>INDEX(規則與試算!$G$14:$G$38,MATCH(MID(O20,2,1)&amp;MID(O20,3,1),規則與試算!$F$14:$F$38,0))</f>
        <v>生</v>
      </c>
      <c r="R20" s="6" t="str">
        <f t="shared" si="5"/>
        <v>大吉</v>
      </c>
      <c r="S20" s="8" t="s">
        <v>28</v>
      </c>
      <c r="T20" s="8" t="s">
        <v>29</v>
      </c>
      <c r="U20" s="8" t="s">
        <v>29</v>
      </c>
      <c r="V20" s="8" t="str">
        <f t="shared" si="6"/>
        <v>火火</v>
      </c>
      <c r="W20" s="11" t="s">
        <v>242</v>
      </c>
    </row>
    <row r="21" spans="1:23" ht="19.95" customHeight="1">
      <c r="A21" s="3">
        <v>19</v>
      </c>
      <c r="B21" s="4" t="s">
        <v>243</v>
      </c>
      <c r="C21" s="3" t="s">
        <v>25</v>
      </c>
      <c r="D21" s="3" t="s">
        <v>224</v>
      </c>
      <c r="E21" s="3" t="s">
        <v>238</v>
      </c>
      <c r="F21" s="5">
        <v>7</v>
      </c>
      <c r="G21" s="5">
        <v>9</v>
      </c>
      <c r="H21" s="5">
        <v>15</v>
      </c>
      <c r="I21" s="3">
        <f t="shared" si="0"/>
        <v>8</v>
      </c>
      <c r="J21" s="3">
        <f t="shared" si="1"/>
        <v>16</v>
      </c>
      <c r="K21" s="3">
        <f t="shared" si="2"/>
        <v>24</v>
      </c>
      <c r="L21" s="3">
        <f t="shared" si="3"/>
        <v>16</v>
      </c>
      <c r="M21" s="3">
        <f t="shared" si="4"/>
        <v>31</v>
      </c>
      <c r="N21" s="6" t="str">
        <f>IF(COUNTIF(規則與試算!$A$14:$A$46,I21)+COUNTIF(規則與試算!$A$14:$A$46,J21)+COUNTIF(規則與試算!$A$14:$A$46,K21)+COUNTIF(規則與試算!$A$14:$A$46,L21)+COUNTIF(規則與試算!$A$14:$A$46,M21)=5,"全吉","有凶")</f>
        <v>全吉</v>
      </c>
      <c r="O21" s="3" t="str">
        <f>INDEX(規則與試算!$D$14:$D$23,MOD(I21,10)+1)&amp;INDEX(規則與試算!$D$14:$D$23,MOD(J21,10)+1)&amp;INDEX(規則與試算!$D$14:$D$23,MOD(K21,10)+1)</f>
        <v>金土火</v>
      </c>
      <c r="P21" s="3" t="str">
        <f>INDEX(規則與試算!$G$14:$G$38,MATCH(MID(O21,1,1)&amp;MID(O21,2,1),規則與試算!$F$14:$F$38,0))</f>
        <v>生</v>
      </c>
      <c r="Q21" s="3" t="str">
        <f>INDEX(規則與試算!$G$14:$G$38,MATCH(MID(O21,2,1)&amp;MID(O21,3,1),規則與試算!$F$14:$F$38,0))</f>
        <v>生</v>
      </c>
      <c r="R21" s="6" t="str">
        <f t="shared" si="5"/>
        <v>大吉</v>
      </c>
      <c r="S21" s="3" t="s">
        <v>28</v>
      </c>
      <c r="T21" s="3" t="s">
        <v>29</v>
      </c>
      <c r="U21" s="3" t="s">
        <v>28</v>
      </c>
      <c r="V21" s="3" t="str">
        <f t="shared" si="6"/>
        <v>火木</v>
      </c>
      <c r="W21" s="7" t="s">
        <v>244</v>
      </c>
    </row>
    <row r="22" spans="1:23" ht="19.95" customHeight="1">
      <c r="A22" s="8">
        <v>20</v>
      </c>
      <c r="B22" s="9" t="s">
        <v>245</v>
      </c>
      <c r="C22" s="8" t="s">
        <v>25</v>
      </c>
      <c r="D22" s="8" t="s">
        <v>246</v>
      </c>
      <c r="E22" s="8" t="s">
        <v>247</v>
      </c>
      <c r="F22" s="10">
        <v>7</v>
      </c>
      <c r="G22" s="10">
        <v>9</v>
      </c>
      <c r="H22" s="10">
        <v>15</v>
      </c>
      <c r="I22" s="8">
        <f t="shared" si="0"/>
        <v>8</v>
      </c>
      <c r="J22" s="8">
        <f t="shared" si="1"/>
        <v>16</v>
      </c>
      <c r="K22" s="8">
        <f t="shared" si="2"/>
        <v>24</v>
      </c>
      <c r="L22" s="8">
        <f t="shared" si="3"/>
        <v>16</v>
      </c>
      <c r="M22" s="8">
        <f t="shared" si="4"/>
        <v>31</v>
      </c>
      <c r="N22" s="6" t="str">
        <f>IF(COUNTIF(規則與試算!$A$14:$A$46,I22)+COUNTIF(規則與試算!$A$14:$A$46,J22)+COUNTIF(規則與試算!$A$14:$A$46,K22)+COUNTIF(規則與試算!$A$14:$A$46,L22)+COUNTIF(規則與試算!$A$14:$A$46,M22)=5,"全吉","有凶")</f>
        <v>全吉</v>
      </c>
      <c r="O22" s="8" t="str">
        <f>INDEX(規則與試算!$D$14:$D$23,MOD(I22,10)+1)&amp;INDEX(規則與試算!$D$14:$D$23,MOD(J22,10)+1)&amp;INDEX(規則與試算!$D$14:$D$23,MOD(K22,10)+1)</f>
        <v>金土火</v>
      </c>
      <c r="P22" s="8" t="str">
        <f>INDEX(規則與試算!$G$14:$G$38,MATCH(MID(O22,1,1)&amp;MID(O22,2,1),規則與試算!$F$14:$F$38,0))</f>
        <v>生</v>
      </c>
      <c r="Q22" s="8" t="str">
        <f>INDEX(規則與試算!$G$14:$G$38,MATCH(MID(O22,2,1)&amp;MID(O22,3,1),規則與試算!$F$14:$F$38,0))</f>
        <v>生</v>
      </c>
      <c r="R22" s="6" t="str">
        <f t="shared" si="5"/>
        <v>大吉</v>
      </c>
      <c r="S22" s="8" t="s">
        <v>28</v>
      </c>
      <c r="T22" s="8" t="s">
        <v>51</v>
      </c>
      <c r="U22" s="8" t="s">
        <v>39</v>
      </c>
      <c r="V22" s="8" t="str">
        <f t="shared" si="6"/>
        <v>水土</v>
      </c>
      <c r="W22" s="11" t="s">
        <v>248</v>
      </c>
    </row>
    <row r="23" spans="1:23" ht="19.95" customHeight="1">
      <c r="A23" s="3">
        <v>21</v>
      </c>
      <c r="B23" s="4" t="s">
        <v>249</v>
      </c>
      <c r="C23" s="3" t="s">
        <v>25</v>
      </c>
      <c r="D23" s="3" t="s">
        <v>220</v>
      </c>
      <c r="E23" s="3" t="s">
        <v>206</v>
      </c>
      <c r="F23" s="5">
        <v>7</v>
      </c>
      <c r="G23" s="5">
        <v>9</v>
      </c>
      <c r="H23" s="5">
        <v>16</v>
      </c>
      <c r="I23" s="3">
        <f t="shared" si="0"/>
        <v>8</v>
      </c>
      <c r="J23" s="3">
        <f t="shared" si="1"/>
        <v>16</v>
      </c>
      <c r="K23" s="3">
        <f t="shared" si="2"/>
        <v>25</v>
      </c>
      <c r="L23" s="3">
        <f t="shared" si="3"/>
        <v>17</v>
      </c>
      <c r="M23" s="3">
        <f t="shared" si="4"/>
        <v>32</v>
      </c>
      <c r="N23" s="6" t="str">
        <f>IF(COUNTIF(規則與試算!$A$14:$A$46,I23)+COUNTIF(規則與試算!$A$14:$A$46,J23)+COUNTIF(規則與試算!$A$14:$A$46,K23)+COUNTIF(規則與試算!$A$14:$A$46,L23)+COUNTIF(規則與試算!$A$14:$A$46,M23)=5,"全吉","有凶")</f>
        <v>全吉</v>
      </c>
      <c r="O23" s="3" t="str">
        <f>INDEX(規則與試算!$D$14:$D$23,MOD(I23,10)+1)&amp;INDEX(規則與試算!$D$14:$D$23,MOD(J23,10)+1)&amp;INDEX(規則與試算!$D$14:$D$23,MOD(K23,10)+1)</f>
        <v>金土土</v>
      </c>
      <c r="P23" s="3" t="str">
        <f>INDEX(規則與試算!$G$14:$G$38,MATCH(MID(O23,1,1)&amp;MID(O23,2,1),規則與試算!$F$14:$F$38,0))</f>
        <v>生</v>
      </c>
      <c r="Q23" s="3" t="str">
        <f>INDEX(規則與試算!$G$14:$G$38,MATCH(MID(O23,2,1)&amp;MID(O23,3,1),規則與試算!$F$14:$F$38,0))</f>
        <v>比和</v>
      </c>
      <c r="R23" s="6" t="str">
        <f t="shared" si="5"/>
        <v>大吉</v>
      </c>
      <c r="S23" s="3" t="s">
        <v>28</v>
      </c>
      <c r="T23" s="3" t="s">
        <v>29</v>
      </c>
      <c r="U23" s="3" t="s">
        <v>28</v>
      </c>
      <c r="V23" s="3" t="str">
        <f t="shared" si="6"/>
        <v>火木</v>
      </c>
      <c r="W23" s="7" t="s">
        <v>250</v>
      </c>
    </row>
    <row r="24" spans="1:23" ht="19.95" customHeight="1">
      <c r="A24" s="8">
        <v>22</v>
      </c>
      <c r="B24" s="9" t="s">
        <v>251</v>
      </c>
      <c r="C24" s="8" t="s">
        <v>25</v>
      </c>
      <c r="D24" s="8" t="s">
        <v>252</v>
      </c>
      <c r="E24" s="8" t="s">
        <v>211</v>
      </c>
      <c r="F24" s="10">
        <v>7</v>
      </c>
      <c r="G24" s="10">
        <v>9</v>
      </c>
      <c r="H24" s="10">
        <v>16</v>
      </c>
      <c r="I24" s="8">
        <f t="shared" si="0"/>
        <v>8</v>
      </c>
      <c r="J24" s="8">
        <f t="shared" si="1"/>
        <v>16</v>
      </c>
      <c r="K24" s="8">
        <f t="shared" si="2"/>
        <v>25</v>
      </c>
      <c r="L24" s="8">
        <f t="shared" si="3"/>
        <v>17</v>
      </c>
      <c r="M24" s="8">
        <f t="shared" si="4"/>
        <v>32</v>
      </c>
      <c r="N24" s="6" t="str">
        <f>IF(COUNTIF(規則與試算!$A$14:$A$46,I24)+COUNTIF(規則與試算!$A$14:$A$46,J24)+COUNTIF(規則與試算!$A$14:$A$46,K24)+COUNTIF(規則與試算!$A$14:$A$46,L24)+COUNTIF(規則與試算!$A$14:$A$46,M24)=5,"全吉","有凶")</f>
        <v>全吉</v>
      </c>
      <c r="O24" s="8" t="str">
        <f>INDEX(規則與試算!$D$14:$D$23,MOD(I24,10)+1)&amp;INDEX(規則與試算!$D$14:$D$23,MOD(J24,10)+1)&amp;INDEX(規則與試算!$D$14:$D$23,MOD(K24,10)+1)</f>
        <v>金土土</v>
      </c>
      <c r="P24" s="8" t="str">
        <f>INDEX(規則與試算!$G$14:$G$38,MATCH(MID(O24,1,1)&amp;MID(O24,2,1),規則與試算!$F$14:$F$38,0))</f>
        <v>生</v>
      </c>
      <c r="Q24" s="8" t="str">
        <f>INDEX(規則與試算!$G$14:$G$38,MATCH(MID(O24,2,1)&amp;MID(O24,3,1),規則與試算!$F$14:$F$38,0))</f>
        <v>比和</v>
      </c>
      <c r="R24" s="6" t="str">
        <f t="shared" si="5"/>
        <v>大吉</v>
      </c>
      <c r="S24" s="8" t="s">
        <v>28</v>
      </c>
      <c r="T24" s="8" t="s">
        <v>51</v>
      </c>
      <c r="U24" s="8" t="s">
        <v>51</v>
      </c>
      <c r="V24" s="8" t="str">
        <f t="shared" si="6"/>
        <v>水水</v>
      </c>
      <c r="W24" s="11" t="s">
        <v>253</v>
      </c>
    </row>
    <row r="25" spans="1:23" ht="19.95" customHeight="1">
      <c r="A25" s="3">
        <v>23</v>
      </c>
      <c r="B25" s="4" t="s">
        <v>254</v>
      </c>
      <c r="C25" s="3" t="s">
        <v>25</v>
      </c>
      <c r="D25" s="3" t="s">
        <v>228</v>
      </c>
      <c r="E25" s="3" t="s">
        <v>203</v>
      </c>
      <c r="F25" s="5">
        <v>7</v>
      </c>
      <c r="G25" s="5">
        <v>9</v>
      </c>
      <c r="H25" s="5">
        <v>16</v>
      </c>
      <c r="I25" s="3">
        <f t="shared" si="0"/>
        <v>8</v>
      </c>
      <c r="J25" s="3">
        <f t="shared" si="1"/>
        <v>16</v>
      </c>
      <c r="K25" s="3">
        <f t="shared" si="2"/>
        <v>25</v>
      </c>
      <c r="L25" s="3">
        <f t="shared" si="3"/>
        <v>17</v>
      </c>
      <c r="M25" s="3">
        <f t="shared" si="4"/>
        <v>32</v>
      </c>
      <c r="N25" s="6" t="str">
        <f>IF(COUNTIF(規則與試算!$A$14:$A$46,I25)+COUNTIF(規則與試算!$A$14:$A$46,J25)+COUNTIF(規則與試算!$A$14:$A$46,K25)+COUNTIF(規則與試算!$A$14:$A$46,L25)+COUNTIF(規則與試算!$A$14:$A$46,M25)=5,"全吉","有凶")</f>
        <v>全吉</v>
      </c>
      <c r="O25" s="3" t="str">
        <f>INDEX(規則與試算!$D$14:$D$23,MOD(I25,10)+1)&amp;INDEX(規則與試算!$D$14:$D$23,MOD(J25,10)+1)&amp;INDEX(規則與試算!$D$14:$D$23,MOD(K25,10)+1)</f>
        <v>金土土</v>
      </c>
      <c r="P25" s="3" t="str">
        <f>INDEX(規則與試算!$G$14:$G$38,MATCH(MID(O25,1,1)&amp;MID(O25,2,1),規則與試算!$F$14:$F$38,0))</f>
        <v>生</v>
      </c>
      <c r="Q25" s="3" t="str">
        <f>INDEX(規則與試算!$G$14:$G$38,MATCH(MID(O25,2,1)&amp;MID(O25,3,1),規則與試算!$F$14:$F$38,0))</f>
        <v>比和</v>
      </c>
      <c r="R25" s="6" t="str">
        <f t="shared" si="5"/>
        <v>大吉</v>
      </c>
      <c r="S25" s="3" t="s">
        <v>28</v>
      </c>
      <c r="T25" s="3" t="s">
        <v>39</v>
      </c>
      <c r="U25" s="3" t="s">
        <v>28</v>
      </c>
      <c r="V25" s="3" t="str">
        <f t="shared" si="6"/>
        <v>土木</v>
      </c>
      <c r="W25" s="7" t="s">
        <v>255</v>
      </c>
    </row>
    <row r="26" spans="1:23" ht="19.95" customHeight="1">
      <c r="A26" s="8">
        <v>24</v>
      </c>
      <c r="B26" s="9" t="s">
        <v>256</v>
      </c>
      <c r="C26" s="8" t="s">
        <v>25</v>
      </c>
      <c r="D26" s="8" t="s">
        <v>224</v>
      </c>
      <c r="E26" s="8" t="s">
        <v>257</v>
      </c>
      <c r="F26" s="10">
        <v>7</v>
      </c>
      <c r="G26" s="10">
        <v>9</v>
      </c>
      <c r="H26" s="10">
        <v>16</v>
      </c>
      <c r="I26" s="8">
        <f t="shared" si="0"/>
        <v>8</v>
      </c>
      <c r="J26" s="8">
        <f t="shared" si="1"/>
        <v>16</v>
      </c>
      <c r="K26" s="8">
        <f t="shared" si="2"/>
        <v>25</v>
      </c>
      <c r="L26" s="8">
        <f t="shared" si="3"/>
        <v>17</v>
      </c>
      <c r="M26" s="8">
        <f t="shared" si="4"/>
        <v>32</v>
      </c>
      <c r="N26" s="6" t="str">
        <f>IF(COUNTIF(規則與試算!$A$14:$A$46,I26)+COUNTIF(規則與試算!$A$14:$A$46,J26)+COUNTIF(規則與試算!$A$14:$A$46,K26)+COUNTIF(規則與試算!$A$14:$A$46,L26)+COUNTIF(規則與試算!$A$14:$A$46,M26)=5,"全吉","有凶")</f>
        <v>全吉</v>
      </c>
      <c r="O26" s="8" t="str">
        <f>INDEX(規則與試算!$D$14:$D$23,MOD(I26,10)+1)&amp;INDEX(規則與試算!$D$14:$D$23,MOD(J26,10)+1)&amp;INDEX(規則與試算!$D$14:$D$23,MOD(K26,10)+1)</f>
        <v>金土土</v>
      </c>
      <c r="P26" s="8" t="str">
        <f>INDEX(規則與試算!$G$14:$G$38,MATCH(MID(O26,1,1)&amp;MID(O26,2,1),規則與試算!$F$14:$F$38,0))</f>
        <v>生</v>
      </c>
      <c r="Q26" s="8" t="str">
        <f>INDEX(規則與試算!$G$14:$G$38,MATCH(MID(O26,2,1)&amp;MID(O26,3,1),規則與試算!$F$14:$F$38,0))</f>
        <v>比和</v>
      </c>
      <c r="R26" s="6" t="str">
        <f t="shared" si="5"/>
        <v>大吉</v>
      </c>
      <c r="S26" s="8" t="s">
        <v>28</v>
      </c>
      <c r="T26" s="8" t="s">
        <v>29</v>
      </c>
      <c r="U26" s="8" t="s">
        <v>28</v>
      </c>
      <c r="V26" s="8" t="str">
        <f t="shared" si="6"/>
        <v>火木</v>
      </c>
      <c r="W26" s="11" t="s">
        <v>258</v>
      </c>
    </row>
    <row r="27" spans="1:23" ht="19.95" customHeight="1">
      <c r="A27" s="3">
        <v>25</v>
      </c>
      <c r="B27" s="4" t="s">
        <v>259</v>
      </c>
      <c r="C27" s="3" t="s">
        <v>25</v>
      </c>
      <c r="D27" s="3" t="s">
        <v>187</v>
      </c>
      <c r="E27" s="3" t="s">
        <v>260</v>
      </c>
      <c r="F27" s="5">
        <v>7</v>
      </c>
      <c r="G27" s="5">
        <v>10</v>
      </c>
      <c r="H27" s="5">
        <v>6</v>
      </c>
      <c r="I27" s="3">
        <f t="shared" si="0"/>
        <v>8</v>
      </c>
      <c r="J27" s="3">
        <f t="shared" si="1"/>
        <v>17</v>
      </c>
      <c r="K27" s="3">
        <f t="shared" si="2"/>
        <v>16</v>
      </c>
      <c r="L27" s="3">
        <f t="shared" si="3"/>
        <v>7</v>
      </c>
      <c r="M27" s="3">
        <f t="shared" si="4"/>
        <v>23</v>
      </c>
      <c r="N27" s="6" t="str">
        <f>IF(COUNTIF(規則與試算!$A$14:$A$46,I27)+COUNTIF(規則與試算!$A$14:$A$46,J27)+COUNTIF(規則與試算!$A$14:$A$46,K27)+COUNTIF(規則與試算!$A$14:$A$46,L27)+COUNTIF(規則與試算!$A$14:$A$46,M27)=5,"全吉","有凶")</f>
        <v>全吉</v>
      </c>
      <c r="O27" s="3" t="str">
        <f>INDEX(規則與試算!$D$14:$D$23,MOD(I27,10)+1)&amp;INDEX(規則與試算!$D$14:$D$23,MOD(J27,10)+1)&amp;INDEX(規則與試算!$D$14:$D$23,MOD(K27,10)+1)</f>
        <v>金金土</v>
      </c>
      <c r="P27" s="3" t="str">
        <f>INDEX(規則與試算!$G$14:$G$38,MATCH(MID(O27,1,1)&amp;MID(O27,2,1),規則與試算!$F$14:$F$38,0))</f>
        <v>比和</v>
      </c>
      <c r="Q27" s="3" t="str">
        <f>INDEX(規則與試算!$G$14:$G$38,MATCH(MID(O27,2,1)&amp;MID(O27,3,1),規則與試算!$F$14:$F$38,0))</f>
        <v>生</v>
      </c>
      <c r="R27" s="6" t="str">
        <f t="shared" si="5"/>
        <v>大吉</v>
      </c>
      <c r="S27" s="3" t="s">
        <v>28</v>
      </c>
      <c r="T27" s="3" t="s">
        <v>29</v>
      </c>
      <c r="U27" s="3" t="s">
        <v>34</v>
      </c>
      <c r="V27" s="3" t="str">
        <f t="shared" si="6"/>
        <v>火金</v>
      </c>
      <c r="W27" s="7" t="s">
        <v>261</v>
      </c>
    </row>
    <row r="28" spans="1:23" ht="19.95" customHeight="1">
      <c r="A28" s="8">
        <v>26</v>
      </c>
      <c r="B28" s="9" t="s">
        <v>262</v>
      </c>
      <c r="C28" s="8" t="s">
        <v>25</v>
      </c>
      <c r="D28" s="8" t="s">
        <v>198</v>
      </c>
      <c r="E28" s="8" t="s">
        <v>260</v>
      </c>
      <c r="F28" s="10">
        <v>7</v>
      </c>
      <c r="G28" s="10">
        <v>10</v>
      </c>
      <c r="H28" s="10">
        <v>6</v>
      </c>
      <c r="I28" s="8">
        <f t="shared" si="0"/>
        <v>8</v>
      </c>
      <c r="J28" s="8">
        <f t="shared" si="1"/>
        <v>17</v>
      </c>
      <c r="K28" s="8">
        <f t="shared" si="2"/>
        <v>16</v>
      </c>
      <c r="L28" s="8">
        <f t="shared" si="3"/>
        <v>7</v>
      </c>
      <c r="M28" s="8">
        <f t="shared" si="4"/>
        <v>23</v>
      </c>
      <c r="N28" s="6" t="str">
        <f>IF(COUNTIF(規則與試算!$A$14:$A$46,I28)+COUNTIF(規則與試算!$A$14:$A$46,J28)+COUNTIF(規則與試算!$A$14:$A$46,K28)+COUNTIF(規則與試算!$A$14:$A$46,L28)+COUNTIF(規則與試算!$A$14:$A$46,M28)=5,"全吉","有凶")</f>
        <v>全吉</v>
      </c>
      <c r="O28" s="8" t="str">
        <f>INDEX(規則與試算!$D$14:$D$23,MOD(I28,10)+1)&amp;INDEX(規則與試算!$D$14:$D$23,MOD(J28,10)+1)&amp;INDEX(規則與試算!$D$14:$D$23,MOD(K28,10)+1)</f>
        <v>金金土</v>
      </c>
      <c r="P28" s="8" t="str">
        <f>INDEX(規則與試算!$G$14:$G$38,MATCH(MID(O28,1,1)&amp;MID(O28,2,1),規則與試算!$F$14:$F$38,0))</f>
        <v>比和</v>
      </c>
      <c r="Q28" s="8" t="str">
        <f>INDEX(規則與試算!$G$14:$G$38,MATCH(MID(O28,2,1)&amp;MID(O28,3,1),規則與試算!$F$14:$F$38,0))</f>
        <v>生</v>
      </c>
      <c r="R28" s="6" t="str">
        <f t="shared" si="5"/>
        <v>大吉</v>
      </c>
      <c r="S28" s="8" t="s">
        <v>28</v>
      </c>
      <c r="T28" s="8" t="s">
        <v>28</v>
      </c>
      <c r="U28" s="8" t="s">
        <v>34</v>
      </c>
      <c r="V28" s="8" t="str">
        <f t="shared" si="6"/>
        <v>木金</v>
      </c>
      <c r="W28" s="11" t="s">
        <v>263</v>
      </c>
    </row>
    <row r="29" spans="1:23" ht="19.95" customHeight="1">
      <c r="A29" s="3">
        <v>27</v>
      </c>
      <c r="B29" s="4" t="s">
        <v>264</v>
      </c>
      <c r="C29" s="3" t="s">
        <v>25</v>
      </c>
      <c r="D29" s="3" t="s">
        <v>265</v>
      </c>
      <c r="E29" s="3" t="s">
        <v>260</v>
      </c>
      <c r="F29" s="5">
        <v>7</v>
      </c>
      <c r="G29" s="5">
        <v>10</v>
      </c>
      <c r="H29" s="5">
        <v>6</v>
      </c>
      <c r="I29" s="3">
        <f t="shared" si="0"/>
        <v>8</v>
      </c>
      <c r="J29" s="3">
        <f t="shared" si="1"/>
        <v>17</v>
      </c>
      <c r="K29" s="3">
        <f t="shared" si="2"/>
        <v>16</v>
      </c>
      <c r="L29" s="3">
        <f t="shared" si="3"/>
        <v>7</v>
      </c>
      <c r="M29" s="3">
        <f t="shared" si="4"/>
        <v>23</v>
      </c>
      <c r="N29" s="6" t="str">
        <f>IF(COUNTIF(規則與試算!$A$14:$A$46,I29)+COUNTIF(規則與試算!$A$14:$A$46,J29)+COUNTIF(規則與試算!$A$14:$A$46,K29)+COUNTIF(規則與試算!$A$14:$A$46,L29)+COUNTIF(規則與試算!$A$14:$A$46,M29)=5,"全吉","有凶")</f>
        <v>全吉</v>
      </c>
      <c r="O29" s="3" t="str">
        <f>INDEX(規則與試算!$D$14:$D$23,MOD(I29,10)+1)&amp;INDEX(規則與試算!$D$14:$D$23,MOD(J29,10)+1)&amp;INDEX(規則與試算!$D$14:$D$23,MOD(K29,10)+1)</f>
        <v>金金土</v>
      </c>
      <c r="P29" s="3" t="str">
        <f>INDEX(規則與試算!$G$14:$G$38,MATCH(MID(O29,1,1)&amp;MID(O29,2,1),規則與試算!$F$14:$F$38,0))</f>
        <v>比和</v>
      </c>
      <c r="Q29" s="3" t="str">
        <f>INDEX(規則與試算!$G$14:$G$38,MATCH(MID(O29,2,1)&amp;MID(O29,3,1),規則與試算!$F$14:$F$38,0))</f>
        <v>生</v>
      </c>
      <c r="R29" s="6" t="str">
        <f t="shared" si="5"/>
        <v>大吉</v>
      </c>
      <c r="S29" s="3" t="s">
        <v>28</v>
      </c>
      <c r="T29" s="3" t="s">
        <v>28</v>
      </c>
      <c r="U29" s="3" t="s">
        <v>34</v>
      </c>
      <c r="V29" s="3" t="str">
        <f t="shared" si="6"/>
        <v>木金</v>
      </c>
      <c r="W29" s="7" t="s">
        <v>266</v>
      </c>
    </row>
    <row r="30" spans="1:23" ht="19.95" customHeight="1">
      <c r="A30" s="8">
        <v>28</v>
      </c>
      <c r="B30" s="9" t="s">
        <v>267</v>
      </c>
      <c r="C30" s="8" t="s">
        <v>25</v>
      </c>
      <c r="D30" s="8" t="s">
        <v>268</v>
      </c>
      <c r="E30" s="8" t="s">
        <v>269</v>
      </c>
      <c r="F30" s="10">
        <v>7</v>
      </c>
      <c r="G30" s="10">
        <v>10</v>
      </c>
      <c r="H30" s="10">
        <v>6</v>
      </c>
      <c r="I30" s="8">
        <f t="shared" si="0"/>
        <v>8</v>
      </c>
      <c r="J30" s="8">
        <f t="shared" si="1"/>
        <v>17</v>
      </c>
      <c r="K30" s="8">
        <f t="shared" si="2"/>
        <v>16</v>
      </c>
      <c r="L30" s="8">
        <f t="shared" si="3"/>
        <v>7</v>
      </c>
      <c r="M30" s="8">
        <f t="shared" si="4"/>
        <v>23</v>
      </c>
      <c r="N30" s="6" t="str">
        <f>IF(COUNTIF(規則與試算!$A$14:$A$46,I30)+COUNTIF(規則與試算!$A$14:$A$46,J30)+COUNTIF(規則與試算!$A$14:$A$46,K30)+COUNTIF(規則與試算!$A$14:$A$46,L30)+COUNTIF(規則與試算!$A$14:$A$46,M30)=5,"全吉","有凶")</f>
        <v>全吉</v>
      </c>
      <c r="O30" s="8" t="str">
        <f>INDEX(規則與試算!$D$14:$D$23,MOD(I30,10)+1)&amp;INDEX(規則與試算!$D$14:$D$23,MOD(J30,10)+1)&amp;INDEX(規則與試算!$D$14:$D$23,MOD(K30,10)+1)</f>
        <v>金金土</v>
      </c>
      <c r="P30" s="8" t="str">
        <f>INDEX(規則與試算!$G$14:$G$38,MATCH(MID(O30,1,1)&amp;MID(O30,2,1),規則與試算!$F$14:$F$38,0))</f>
        <v>比和</v>
      </c>
      <c r="Q30" s="8" t="str">
        <f>INDEX(規則與試算!$G$14:$G$38,MATCH(MID(O30,2,1)&amp;MID(O30,3,1),規則與試算!$F$14:$F$38,0))</f>
        <v>生</v>
      </c>
      <c r="R30" s="6" t="str">
        <f t="shared" si="5"/>
        <v>大吉</v>
      </c>
      <c r="S30" s="8" t="s">
        <v>28</v>
      </c>
      <c r="T30" s="8" t="s">
        <v>28</v>
      </c>
      <c r="U30" s="8" t="s">
        <v>39</v>
      </c>
      <c r="V30" s="8" t="str">
        <f t="shared" si="6"/>
        <v>木土</v>
      </c>
      <c r="W30" s="11" t="s">
        <v>270</v>
      </c>
    </row>
    <row r="31" spans="1:23" ht="19.95" customHeight="1">
      <c r="A31" s="3">
        <v>29</v>
      </c>
      <c r="B31" s="4" t="s">
        <v>271</v>
      </c>
      <c r="C31" s="3" t="s">
        <v>25</v>
      </c>
      <c r="D31" s="3" t="s">
        <v>272</v>
      </c>
      <c r="E31" s="3" t="s">
        <v>221</v>
      </c>
      <c r="F31" s="5">
        <v>7</v>
      </c>
      <c r="G31" s="5">
        <v>10</v>
      </c>
      <c r="H31" s="5">
        <v>7</v>
      </c>
      <c r="I31" s="3">
        <f t="shared" si="0"/>
        <v>8</v>
      </c>
      <c r="J31" s="3">
        <f t="shared" si="1"/>
        <v>17</v>
      </c>
      <c r="K31" s="3">
        <f t="shared" si="2"/>
        <v>17</v>
      </c>
      <c r="L31" s="3">
        <f t="shared" si="3"/>
        <v>8</v>
      </c>
      <c r="M31" s="3">
        <f t="shared" si="4"/>
        <v>24</v>
      </c>
      <c r="N31" s="6" t="str">
        <f>IF(COUNTIF(規則與試算!$A$14:$A$46,I31)+COUNTIF(規則與試算!$A$14:$A$46,J31)+COUNTIF(規則與試算!$A$14:$A$46,K31)+COUNTIF(規則與試算!$A$14:$A$46,L31)+COUNTIF(規則與試算!$A$14:$A$46,M31)=5,"全吉","有凶")</f>
        <v>全吉</v>
      </c>
      <c r="O31" s="3" t="str">
        <f>INDEX(規則與試算!$D$14:$D$23,MOD(I31,10)+1)&amp;INDEX(規則與試算!$D$14:$D$23,MOD(J31,10)+1)&amp;INDEX(規則與試算!$D$14:$D$23,MOD(K31,10)+1)</f>
        <v>金金金</v>
      </c>
      <c r="P31" s="3" t="str">
        <f>INDEX(規則與試算!$G$14:$G$38,MATCH(MID(O31,1,1)&amp;MID(O31,2,1),規則與試算!$F$14:$F$38,0))</f>
        <v>比和</v>
      </c>
      <c r="Q31" s="3" t="str">
        <f>INDEX(規則與試算!$G$14:$G$38,MATCH(MID(O31,2,1)&amp;MID(O31,3,1),規則與試算!$F$14:$F$38,0))</f>
        <v>比和</v>
      </c>
      <c r="R31" s="6" t="str">
        <f t="shared" si="5"/>
        <v>大吉</v>
      </c>
      <c r="S31" s="3" t="s">
        <v>28</v>
      </c>
      <c r="T31" s="3" t="s">
        <v>34</v>
      </c>
      <c r="U31" s="3" t="s">
        <v>51</v>
      </c>
      <c r="V31" s="3" t="str">
        <f t="shared" si="6"/>
        <v>金水</v>
      </c>
      <c r="W31" s="7" t="s">
        <v>273</v>
      </c>
    </row>
    <row r="32" spans="1:23" ht="19.95" customHeight="1">
      <c r="A32" s="8">
        <v>30</v>
      </c>
      <c r="B32" s="9" t="s">
        <v>274</v>
      </c>
      <c r="C32" s="8" t="s">
        <v>25</v>
      </c>
      <c r="D32" s="8" t="s">
        <v>265</v>
      </c>
      <c r="E32" s="8" t="s">
        <v>221</v>
      </c>
      <c r="F32" s="10">
        <v>7</v>
      </c>
      <c r="G32" s="10">
        <v>10</v>
      </c>
      <c r="H32" s="10">
        <v>7</v>
      </c>
      <c r="I32" s="8">
        <f t="shared" si="0"/>
        <v>8</v>
      </c>
      <c r="J32" s="8">
        <f t="shared" si="1"/>
        <v>17</v>
      </c>
      <c r="K32" s="8">
        <f t="shared" si="2"/>
        <v>17</v>
      </c>
      <c r="L32" s="8">
        <f t="shared" si="3"/>
        <v>8</v>
      </c>
      <c r="M32" s="8">
        <f t="shared" si="4"/>
        <v>24</v>
      </c>
      <c r="N32" s="6" t="str">
        <f>IF(COUNTIF(規則與試算!$A$14:$A$46,I32)+COUNTIF(規則與試算!$A$14:$A$46,J32)+COUNTIF(規則與試算!$A$14:$A$46,K32)+COUNTIF(規則與試算!$A$14:$A$46,L32)+COUNTIF(規則與試算!$A$14:$A$46,M32)=5,"全吉","有凶")</f>
        <v>全吉</v>
      </c>
      <c r="O32" s="8" t="str">
        <f>INDEX(規則與試算!$D$14:$D$23,MOD(I32,10)+1)&amp;INDEX(規則與試算!$D$14:$D$23,MOD(J32,10)+1)&amp;INDEX(規則與試算!$D$14:$D$23,MOD(K32,10)+1)</f>
        <v>金金金</v>
      </c>
      <c r="P32" s="8" t="str">
        <f>INDEX(規則與試算!$G$14:$G$38,MATCH(MID(O32,1,1)&amp;MID(O32,2,1),規則與試算!$F$14:$F$38,0))</f>
        <v>比和</v>
      </c>
      <c r="Q32" s="8" t="str">
        <f>INDEX(規則與試算!$G$14:$G$38,MATCH(MID(O32,2,1)&amp;MID(O32,3,1),規則與試算!$F$14:$F$38,0))</f>
        <v>比和</v>
      </c>
      <c r="R32" s="6" t="str">
        <f t="shared" si="5"/>
        <v>大吉</v>
      </c>
      <c r="S32" s="8" t="s">
        <v>28</v>
      </c>
      <c r="T32" s="8" t="s">
        <v>28</v>
      </c>
      <c r="U32" s="8" t="s">
        <v>51</v>
      </c>
      <c r="V32" s="8" t="str">
        <f t="shared" si="6"/>
        <v>木水</v>
      </c>
      <c r="W32" s="11" t="s">
        <v>275</v>
      </c>
    </row>
    <row r="33" spans="1:23" ht="19.95" customHeight="1">
      <c r="A33" s="3">
        <v>31</v>
      </c>
      <c r="B33" s="4" t="s">
        <v>276</v>
      </c>
      <c r="C33" s="3" t="s">
        <v>25</v>
      </c>
      <c r="D33" s="3" t="s">
        <v>187</v>
      </c>
      <c r="E33" s="3" t="s">
        <v>221</v>
      </c>
      <c r="F33" s="5">
        <v>7</v>
      </c>
      <c r="G33" s="5">
        <v>10</v>
      </c>
      <c r="H33" s="5">
        <v>7</v>
      </c>
      <c r="I33" s="3">
        <f t="shared" si="0"/>
        <v>8</v>
      </c>
      <c r="J33" s="3">
        <f t="shared" si="1"/>
        <v>17</v>
      </c>
      <c r="K33" s="3">
        <f t="shared" si="2"/>
        <v>17</v>
      </c>
      <c r="L33" s="3">
        <f t="shared" si="3"/>
        <v>8</v>
      </c>
      <c r="M33" s="3">
        <f t="shared" si="4"/>
        <v>24</v>
      </c>
      <c r="N33" s="6" t="str">
        <f>IF(COUNTIF(規則與試算!$A$14:$A$46,I33)+COUNTIF(規則與試算!$A$14:$A$46,J33)+COUNTIF(規則與試算!$A$14:$A$46,K33)+COUNTIF(規則與試算!$A$14:$A$46,L33)+COUNTIF(規則與試算!$A$14:$A$46,M33)=5,"全吉","有凶")</f>
        <v>全吉</v>
      </c>
      <c r="O33" s="3" t="str">
        <f>INDEX(規則與試算!$D$14:$D$23,MOD(I33,10)+1)&amp;INDEX(規則與試算!$D$14:$D$23,MOD(J33,10)+1)&amp;INDEX(規則與試算!$D$14:$D$23,MOD(K33,10)+1)</f>
        <v>金金金</v>
      </c>
      <c r="P33" s="3" t="str">
        <f>INDEX(規則與試算!$G$14:$G$38,MATCH(MID(O33,1,1)&amp;MID(O33,2,1),規則與試算!$F$14:$F$38,0))</f>
        <v>比和</v>
      </c>
      <c r="Q33" s="3" t="str">
        <f>INDEX(規則與試算!$G$14:$G$38,MATCH(MID(O33,2,1)&amp;MID(O33,3,1),規則與試算!$F$14:$F$38,0))</f>
        <v>比和</v>
      </c>
      <c r="R33" s="6" t="str">
        <f t="shared" si="5"/>
        <v>大吉</v>
      </c>
      <c r="S33" s="3" t="s">
        <v>28</v>
      </c>
      <c r="T33" s="3" t="s">
        <v>29</v>
      </c>
      <c r="U33" s="3" t="s">
        <v>51</v>
      </c>
      <c r="V33" s="3" t="str">
        <f t="shared" si="6"/>
        <v>火水</v>
      </c>
      <c r="W33" s="7" t="s">
        <v>277</v>
      </c>
    </row>
    <row r="34" spans="1:23" ht="19.95" customHeight="1">
      <c r="A34" s="8">
        <v>32</v>
      </c>
      <c r="B34" s="9" t="s">
        <v>278</v>
      </c>
      <c r="C34" s="8" t="s">
        <v>25</v>
      </c>
      <c r="D34" s="8" t="s">
        <v>268</v>
      </c>
      <c r="E34" s="8" t="s">
        <v>225</v>
      </c>
      <c r="F34" s="10">
        <v>7</v>
      </c>
      <c r="G34" s="10">
        <v>10</v>
      </c>
      <c r="H34" s="10">
        <v>7</v>
      </c>
      <c r="I34" s="8">
        <f t="shared" si="0"/>
        <v>8</v>
      </c>
      <c r="J34" s="8">
        <f t="shared" si="1"/>
        <v>17</v>
      </c>
      <c r="K34" s="8">
        <f t="shared" si="2"/>
        <v>17</v>
      </c>
      <c r="L34" s="8">
        <f t="shared" si="3"/>
        <v>8</v>
      </c>
      <c r="M34" s="8">
        <f t="shared" si="4"/>
        <v>24</v>
      </c>
      <c r="N34" s="6" t="str">
        <f>IF(COUNTIF(規則與試算!$A$14:$A$46,I34)+COUNTIF(規則與試算!$A$14:$A$46,J34)+COUNTIF(規則與試算!$A$14:$A$46,K34)+COUNTIF(規則與試算!$A$14:$A$46,L34)+COUNTIF(規則與試算!$A$14:$A$46,M34)=5,"全吉","有凶")</f>
        <v>全吉</v>
      </c>
      <c r="O34" s="8" t="str">
        <f>INDEX(規則與試算!$D$14:$D$23,MOD(I34,10)+1)&amp;INDEX(規則與試算!$D$14:$D$23,MOD(J34,10)+1)&amp;INDEX(規則與試算!$D$14:$D$23,MOD(K34,10)+1)</f>
        <v>金金金</v>
      </c>
      <c r="P34" s="8" t="str">
        <f>INDEX(規則與試算!$G$14:$G$38,MATCH(MID(O34,1,1)&amp;MID(O34,2,1),規則與試算!$F$14:$F$38,0))</f>
        <v>比和</v>
      </c>
      <c r="Q34" s="8" t="str">
        <f>INDEX(規則與試算!$G$14:$G$38,MATCH(MID(O34,2,1)&amp;MID(O34,3,1),規則與試算!$F$14:$F$38,0))</f>
        <v>比和</v>
      </c>
      <c r="R34" s="6" t="str">
        <f t="shared" si="5"/>
        <v>大吉</v>
      </c>
      <c r="S34" s="8" t="s">
        <v>28</v>
      </c>
      <c r="T34" s="8" t="s">
        <v>28</v>
      </c>
      <c r="U34" s="8" t="s">
        <v>29</v>
      </c>
      <c r="V34" s="8" t="str">
        <f t="shared" si="6"/>
        <v>木火</v>
      </c>
      <c r="W34" s="11" t="s">
        <v>279</v>
      </c>
    </row>
    <row r="35" spans="1:23" ht="19.95" customHeight="1">
      <c r="A35" s="3">
        <v>33</v>
      </c>
      <c r="B35" s="4" t="s">
        <v>280</v>
      </c>
      <c r="C35" s="3" t="s">
        <v>25</v>
      </c>
      <c r="D35" s="3" t="s">
        <v>272</v>
      </c>
      <c r="E35" s="3" t="s">
        <v>238</v>
      </c>
      <c r="F35" s="5">
        <v>7</v>
      </c>
      <c r="G35" s="5">
        <v>10</v>
      </c>
      <c r="H35" s="5">
        <v>15</v>
      </c>
      <c r="I35" s="3">
        <f t="shared" ref="I35:I52" si="7">F35+1</f>
        <v>8</v>
      </c>
      <c r="J35" s="3">
        <f t="shared" ref="J35:J52" si="8">F35+G35</f>
        <v>17</v>
      </c>
      <c r="K35" s="3">
        <f t="shared" ref="K35:K52" si="9">G35+H35</f>
        <v>25</v>
      </c>
      <c r="L35" s="3">
        <f t="shared" ref="L35:L52" si="10">H35+1</f>
        <v>16</v>
      </c>
      <c r="M35" s="3">
        <f t="shared" ref="M35:M52" si="11">F35+G35+H35</f>
        <v>32</v>
      </c>
      <c r="N35" s="6" t="str">
        <f>IF(COUNTIF(規則與試算!$A$14:$A$46,I35)+COUNTIF(規則與試算!$A$14:$A$46,J35)+COUNTIF(規則與試算!$A$14:$A$46,K35)+COUNTIF(規則與試算!$A$14:$A$46,L35)+COUNTIF(規則與試算!$A$14:$A$46,M35)=5,"全吉","有凶")</f>
        <v>全吉</v>
      </c>
      <c r="O35" s="3" t="str">
        <f>INDEX(規則與試算!$D$14:$D$23,MOD(I35,10)+1)&amp;INDEX(規則與試算!$D$14:$D$23,MOD(J35,10)+1)&amp;INDEX(規則與試算!$D$14:$D$23,MOD(K35,10)+1)</f>
        <v>金金土</v>
      </c>
      <c r="P35" s="3" t="str">
        <f>INDEX(規則與試算!$G$14:$G$38,MATCH(MID(O35,1,1)&amp;MID(O35,2,1),規則與試算!$F$14:$F$38,0))</f>
        <v>比和</v>
      </c>
      <c r="Q35" s="3" t="str">
        <f>INDEX(規則與試算!$G$14:$G$38,MATCH(MID(O35,2,1)&amp;MID(O35,3,1),規則與試算!$F$14:$F$38,0))</f>
        <v>生</v>
      </c>
      <c r="R35" s="6" t="str">
        <f t="shared" ref="R35:R66" si="12">IF(AND(P35&lt;&gt;"剋",Q35&lt;&gt;"剋"),"大吉",IF(OR(P35&lt;&gt;"剋",Q35&lt;&gt;"剋"),"中吉","需注意"))</f>
        <v>大吉</v>
      </c>
      <c r="S35" s="3" t="s">
        <v>28</v>
      </c>
      <c r="T35" s="3" t="s">
        <v>34</v>
      </c>
      <c r="U35" s="3" t="s">
        <v>28</v>
      </c>
      <c r="V35" s="3" t="str">
        <f t="shared" ref="V35:V66" si="13">T35&amp;U35</f>
        <v>金木</v>
      </c>
      <c r="W35" s="7" t="s">
        <v>281</v>
      </c>
    </row>
    <row r="36" spans="1:23" ht="19.95" customHeight="1">
      <c r="A36" s="8">
        <v>34</v>
      </c>
      <c r="B36" s="9" t="s">
        <v>282</v>
      </c>
      <c r="C36" s="8" t="s">
        <v>25</v>
      </c>
      <c r="D36" s="8" t="s">
        <v>187</v>
      </c>
      <c r="E36" s="8" t="s">
        <v>238</v>
      </c>
      <c r="F36" s="10">
        <v>7</v>
      </c>
      <c r="G36" s="10">
        <v>10</v>
      </c>
      <c r="H36" s="10">
        <v>15</v>
      </c>
      <c r="I36" s="8">
        <f t="shared" si="7"/>
        <v>8</v>
      </c>
      <c r="J36" s="8">
        <f t="shared" si="8"/>
        <v>17</v>
      </c>
      <c r="K36" s="8">
        <f t="shared" si="9"/>
        <v>25</v>
      </c>
      <c r="L36" s="8">
        <f t="shared" si="10"/>
        <v>16</v>
      </c>
      <c r="M36" s="8">
        <f t="shared" si="11"/>
        <v>32</v>
      </c>
      <c r="N36" s="6" t="str">
        <f>IF(COUNTIF(規則與試算!$A$14:$A$46,I36)+COUNTIF(規則與試算!$A$14:$A$46,J36)+COUNTIF(規則與試算!$A$14:$A$46,K36)+COUNTIF(規則與試算!$A$14:$A$46,L36)+COUNTIF(規則與試算!$A$14:$A$46,M36)=5,"全吉","有凶")</f>
        <v>全吉</v>
      </c>
      <c r="O36" s="8" t="str">
        <f>INDEX(規則與試算!$D$14:$D$23,MOD(I36,10)+1)&amp;INDEX(規則與試算!$D$14:$D$23,MOD(J36,10)+1)&amp;INDEX(規則與試算!$D$14:$D$23,MOD(K36,10)+1)</f>
        <v>金金土</v>
      </c>
      <c r="P36" s="8" t="str">
        <f>INDEX(規則與試算!$G$14:$G$38,MATCH(MID(O36,1,1)&amp;MID(O36,2,1),規則與試算!$F$14:$F$38,0))</f>
        <v>比和</v>
      </c>
      <c r="Q36" s="8" t="str">
        <f>INDEX(規則與試算!$G$14:$G$38,MATCH(MID(O36,2,1)&amp;MID(O36,3,1),規則與試算!$F$14:$F$38,0))</f>
        <v>生</v>
      </c>
      <c r="R36" s="6" t="str">
        <f t="shared" si="12"/>
        <v>大吉</v>
      </c>
      <c r="S36" s="8" t="s">
        <v>28</v>
      </c>
      <c r="T36" s="8" t="s">
        <v>29</v>
      </c>
      <c r="U36" s="8" t="s">
        <v>28</v>
      </c>
      <c r="V36" s="8" t="str">
        <f t="shared" si="13"/>
        <v>火木</v>
      </c>
      <c r="W36" s="11" t="s">
        <v>283</v>
      </c>
    </row>
    <row r="37" spans="1:23" ht="19.95" customHeight="1">
      <c r="A37" s="3">
        <v>35</v>
      </c>
      <c r="B37" s="4" t="s">
        <v>284</v>
      </c>
      <c r="C37" s="3" t="s">
        <v>25</v>
      </c>
      <c r="D37" s="3" t="s">
        <v>265</v>
      </c>
      <c r="E37" s="3" t="s">
        <v>238</v>
      </c>
      <c r="F37" s="5">
        <v>7</v>
      </c>
      <c r="G37" s="5">
        <v>10</v>
      </c>
      <c r="H37" s="5">
        <v>15</v>
      </c>
      <c r="I37" s="3">
        <f t="shared" si="7"/>
        <v>8</v>
      </c>
      <c r="J37" s="3">
        <f t="shared" si="8"/>
        <v>17</v>
      </c>
      <c r="K37" s="3">
        <f t="shared" si="9"/>
        <v>25</v>
      </c>
      <c r="L37" s="3">
        <f t="shared" si="10"/>
        <v>16</v>
      </c>
      <c r="M37" s="3">
        <f t="shared" si="11"/>
        <v>32</v>
      </c>
      <c r="N37" s="6" t="str">
        <f>IF(COUNTIF(規則與試算!$A$14:$A$46,I37)+COUNTIF(規則與試算!$A$14:$A$46,J37)+COUNTIF(規則與試算!$A$14:$A$46,K37)+COUNTIF(規則與試算!$A$14:$A$46,L37)+COUNTIF(規則與試算!$A$14:$A$46,M37)=5,"全吉","有凶")</f>
        <v>全吉</v>
      </c>
      <c r="O37" s="3" t="str">
        <f>INDEX(規則與試算!$D$14:$D$23,MOD(I37,10)+1)&amp;INDEX(規則與試算!$D$14:$D$23,MOD(J37,10)+1)&amp;INDEX(規則與試算!$D$14:$D$23,MOD(K37,10)+1)</f>
        <v>金金土</v>
      </c>
      <c r="P37" s="3" t="str">
        <f>INDEX(規則與試算!$G$14:$G$38,MATCH(MID(O37,1,1)&amp;MID(O37,2,1),規則與試算!$F$14:$F$38,0))</f>
        <v>比和</v>
      </c>
      <c r="Q37" s="3" t="str">
        <f>INDEX(規則與試算!$G$14:$G$38,MATCH(MID(O37,2,1)&amp;MID(O37,3,1),規則與試算!$F$14:$F$38,0))</f>
        <v>生</v>
      </c>
      <c r="R37" s="6" t="str">
        <f t="shared" si="12"/>
        <v>大吉</v>
      </c>
      <c r="S37" s="3" t="s">
        <v>28</v>
      </c>
      <c r="T37" s="3" t="s">
        <v>28</v>
      </c>
      <c r="U37" s="3" t="s">
        <v>28</v>
      </c>
      <c r="V37" s="3" t="str">
        <f t="shared" si="13"/>
        <v>木木</v>
      </c>
      <c r="W37" s="7" t="s">
        <v>285</v>
      </c>
    </row>
    <row r="38" spans="1:23" ht="19.95" customHeight="1">
      <c r="A38" s="8">
        <v>36</v>
      </c>
      <c r="B38" s="9" t="s">
        <v>286</v>
      </c>
      <c r="C38" s="8" t="s">
        <v>25</v>
      </c>
      <c r="D38" s="8" t="s">
        <v>287</v>
      </c>
      <c r="E38" s="8" t="s">
        <v>288</v>
      </c>
      <c r="F38" s="10">
        <v>7</v>
      </c>
      <c r="G38" s="10">
        <v>10</v>
      </c>
      <c r="H38" s="10">
        <v>15</v>
      </c>
      <c r="I38" s="8">
        <f t="shared" si="7"/>
        <v>8</v>
      </c>
      <c r="J38" s="8">
        <f t="shared" si="8"/>
        <v>17</v>
      </c>
      <c r="K38" s="8">
        <f t="shared" si="9"/>
        <v>25</v>
      </c>
      <c r="L38" s="8">
        <f t="shared" si="10"/>
        <v>16</v>
      </c>
      <c r="M38" s="8">
        <f t="shared" si="11"/>
        <v>32</v>
      </c>
      <c r="N38" s="6" t="str">
        <f>IF(COUNTIF(規則與試算!$A$14:$A$46,I38)+COUNTIF(規則與試算!$A$14:$A$46,J38)+COUNTIF(規則與試算!$A$14:$A$46,K38)+COUNTIF(規則與試算!$A$14:$A$46,L38)+COUNTIF(規則與試算!$A$14:$A$46,M38)=5,"全吉","有凶")</f>
        <v>全吉</v>
      </c>
      <c r="O38" s="8" t="str">
        <f>INDEX(規則與試算!$D$14:$D$23,MOD(I38,10)+1)&amp;INDEX(規則與試算!$D$14:$D$23,MOD(J38,10)+1)&amp;INDEX(規則與試算!$D$14:$D$23,MOD(K38,10)+1)</f>
        <v>金金土</v>
      </c>
      <c r="P38" s="8" t="str">
        <f>INDEX(規則與試算!$G$14:$G$38,MATCH(MID(O38,1,1)&amp;MID(O38,2,1),規則與試算!$F$14:$F$38,0))</f>
        <v>比和</v>
      </c>
      <c r="Q38" s="8" t="str">
        <f>INDEX(規則與試算!$G$14:$G$38,MATCH(MID(O38,2,1)&amp;MID(O38,3,1),規則與試算!$F$14:$F$38,0))</f>
        <v>生</v>
      </c>
      <c r="R38" s="6" t="str">
        <f t="shared" si="12"/>
        <v>大吉</v>
      </c>
      <c r="S38" s="8" t="s">
        <v>28</v>
      </c>
      <c r="T38" s="8" t="s">
        <v>39</v>
      </c>
      <c r="U38" s="8" t="s">
        <v>39</v>
      </c>
      <c r="V38" s="8" t="str">
        <f t="shared" si="13"/>
        <v>土土</v>
      </c>
      <c r="W38" s="11" t="s">
        <v>289</v>
      </c>
    </row>
    <row r="39" spans="1:23" ht="19.95" customHeight="1">
      <c r="A39" s="3">
        <v>37</v>
      </c>
      <c r="B39" s="4" t="s">
        <v>290</v>
      </c>
      <c r="C39" s="3" t="s">
        <v>25</v>
      </c>
      <c r="D39" s="3" t="s">
        <v>291</v>
      </c>
      <c r="E39" s="3" t="s">
        <v>292</v>
      </c>
      <c r="F39" s="5">
        <v>7</v>
      </c>
      <c r="G39" s="5">
        <v>11</v>
      </c>
      <c r="H39" s="5">
        <v>5</v>
      </c>
      <c r="I39" s="3">
        <f t="shared" si="7"/>
        <v>8</v>
      </c>
      <c r="J39" s="3">
        <f t="shared" si="8"/>
        <v>18</v>
      </c>
      <c r="K39" s="3">
        <f t="shared" si="9"/>
        <v>16</v>
      </c>
      <c r="L39" s="3">
        <f t="shared" si="10"/>
        <v>6</v>
      </c>
      <c r="M39" s="3">
        <f t="shared" si="11"/>
        <v>23</v>
      </c>
      <c r="N39" s="6" t="str">
        <f>IF(COUNTIF(規則與試算!$A$14:$A$46,I39)+COUNTIF(規則與試算!$A$14:$A$46,J39)+COUNTIF(規則與試算!$A$14:$A$46,K39)+COUNTIF(規則與試算!$A$14:$A$46,L39)+COUNTIF(規則與試算!$A$14:$A$46,M39)=5,"全吉","有凶")</f>
        <v>全吉</v>
      </c>
      <c r="O39" s="3" t="str">
        <f>INDEX(規則與試算!$D$14:$D$23,MOD(I39,10)+1)&amp;INDEX(規則與試算!$D$14:$D$23,MOD(J39,10)+1)&amp;INDEX(規則與試算!$D$14:$D$23,MOD(K39,10)+1)</f>
        <v>金金土</v>
      </c>
      <c r="P39" s="3" t="str">
        <f>INDEX(規則與試算!$G$14:$G$38,MATCH(MID(O39,1,1)&amp;MID(O39,2,1),規則與試算!$F$14:$F$38,0))</f>
        <v>比和</v>
      </c>
      <c r="Q39" s="3" t="str">
        <f>INDEX(規則與試算!$G$14:$G$38,MATCH(MID(O39,2,1)&amp;MID(O39,3,1),規則與試算!$F$14:$F$38,0))</f>
        <v>生</v>
      </c>
      <c r="R39" s="6" t="str">
        <f t="shared" si="12"/>
        <v>大吉</v>
      </c>
      <c r="S39" s="3" t="s">
        <v>28</v>
      </c>
      <c r="T39" s="3" t="s">
        <v>39</v>
      </c>
      <c r="U39" s="3" t="s">
        <v>39</v>
      </c>
      <c r="V39" s="3" t="str">
        <f t="shared" si="13"/>
        <v>土土</v>
      </c>
      <c r="W39" s="7" t="s">
        <v>293</v>
      </c>
    </row>
    <row r="40" spans="1:23" ht="19.95" customHeight="1">
      <c r="A40" s="8">
        <v>38</v>
      </c>
      <c r="B40" s="9" t="s">
        <v>294</v>
      </c>
      <c r="C40" s="8" t="s">
        <v>25</v>
      </c>
      <c r="D40" s="8" t="s">
        <v>295</v>
      </c>
      <c r="E40" s="8" t="s">
        <v>292</v>
      </c>
      <c r="F40" s="10">
        <v>7</v>
      </c>
      <c r="G40" s="10">
        <v>11</v>
      </c>
      <c r="H40" s="10">
        <v>5</v>
      </c>
      <c r="I40" s="8">
        <f t="shared" si="7"/>
        <v>8</v>
      </c>
      <c r="J40" s="8">
        <f t="shared" si="8"/>
        <v>18</v>
      </c>
      <c r="K40" s="8">
        <f t="shared" si="9"/>
        <v>16</v>
      </c>
      <c r="L40" s="8">
        <f t="shared" si="10"/>
        <v>6</v>
      </c>
      <c r="M40" s="8">
        <f t="shared" si="11"/>
        <v>23</v>
      </c>
      <c r="N40" s="6" t="str">
        <f>IF(COUNTIF(規則與試算!$A$14:$A$46,I40)+COUNTIF(規則與試算!$A$14:$A$46,J40)+COUNTIF(規則與試算!$A$14:$A$46,K40)+COUNTIF(規則與試算!$A$14:$A$46,L40)+COUNTIF(規則與試算!$A$14:$A$46,M40)=5,"全吉","有凶")</f>
        <v>全吉</v>
      </c>
      <c r="O40" s="8" t="str">
        <f>INDEX(規則與試算!$D$14:$D$23,MOD(I40,10)+1)&amp;INDEX(規則與試算!$D$14:$D$23,MOD(J40,10)+1)&amp;INDEX(規則與試算!$D$14:$D$23,MOD(K40,10)+1)</f>
        <v>金金土</v>
      </c>
      <c r="P40" s="8" t="str">
        <f>INDEX(規則與試算!$G$14:$G$38,MATCH(MID(O40,1,1)&amp;MID(O40,2,1),規則與試算!$F$14:$F$38,0))</f>
        <v>比和</v>
      </c>
      <c r="Q40" s="8" t="str">
        <f>INDEX(規則與試算!$G$14:$G$38,MATCH(MID(O40,2,1)&amp;MID(O40,3,1),規則與試算!$F$14:$F$38,0))</f>
        <v>生</v>
      </c>
      <c r="R40" s="6" t="str">
        <f t="shared" si="12"/>
        <v>大吉</v>
      </c>
      <c r="S40" s="8" t="s">
        <v>28</v>
      </c>
      <c r="T40" s="8" t="s">
        <v>34</v>
      </c>
      <c r="U40" s="8" t="s">
        <v>39</v>
      </c>
      <c r="V40" s="8" t="str">
        <f t="shared" si="13"/>
        <v>金土</v>
      </c>
      <c r="W40" s="11" t="s">
        <v>296</v>
      </c>
    </row>
    <row r="41" spans="1:23" ht="19.95" customHeight="1">
      <c r="A41" s="3">
        <v>39</v>
      </c>
      <c r="B41" s="4" t="s">
        <v>297</v>
      </c>
      <c r="C41" s="3" t="s">
        <v>25</v>
      </c>
      <c r="D41" s="3" t="s">
        <v>291</v>
      </c>
      <c r="E41" s="3" t="s">
        <v>260</v>
      </c>
      <c r="F41" s="5">
        <v>7</v>
      </c>
      <c r="G41" s="5">
        <v>11</v>
      </c>
      <c r="H41" s="5">
        <v>6</v>
      </c>
      <c r="I41" s="3">
        <f t="shared" si="7"/>
        <v>8</v>
      </c>
      <c r="J41" s="3">
        <f t="shared" si="8"/>
        <v>18</v>
      </c>
      <c r="K41" s="3">
        <f t="shared" si="9"/>
        <v>17</v>
      </c>
      <c r="L41" s="3">
        <f t="shared" si="10"/>
        <v>7</v>
      </c>
      <c r="M41" s="3">
        <f t="shared" si="11"/>
        <v>24</v>
      </c>
      <c r="N41" s="6" t="str">
        <f>IF(COUNTIF(規則與試算!$A$14:$A$46,I41)+COUNTIF(規則與試算!$A$14:$A$46,J41)+COUNTIF(規則與試算!$A$14:$A$46,K41)+COUNTIF(規則與試算!$A$14:$A$46,L41)+COUNTIF(規則與試算!$A$14:$A$46,M41)=5,"全吉","有凶")</f>
        <v>全吉</v>
      </c>
      <c r="O41" s="3" t="str">
        <f>INDEX(規則與試算!$D$14:$D$23,MOD(I41,10)+1)&amp;INDEX(規則與試算!$D$14:$D$23,MOD(J41,10)+1)&amp;INDEX(規則與試算!$D$14:$D$23,MOD(K41,10)+1)</f>
        <v>金金金</v>
      </c>
      <c r="P41" s="3" t="str">
        <f>INDEX(規則與試算!$G$14:$G$38,MATCH(MID(O41,1,1)&amp;MID(O41,2,1),規則與試算!$F$14:$F$38,0))</f>
        <v>比和</v>
      </c>
      <c r="Q41" s="3" t="str">
        <f>INDEX(規則與試算!$G$14:$G$38,MATCH(MID(O41,2,1)&amp;MID(O41,3,1),規則與試算!$F$14:$F$38,0))</f>
        <v>比和</v>
      </c>
      <c r="R41" s="6" t="str">
        <f t="shared" si="12"/>
        <v>大吉</v>
      </c>
      <c r="S41" s="3" t="s">
        <v>28</v>
      </c>
      <c r="T41" s="3" t="s">
        <v>39</v>
      </c>
      <c r="U41" s="3" t="s">
        <v>34</v>
      </c>
      <c r="V41" s="3" t="str">
        <f t="shared" si="13"/>
        <v>土金</v>
      </c>
      <c r="W41" s="7" t="s">
        <v>298</v>
      </c>
    </row>
    <row r="42" spans="1:23" ht="19.95" customHeight="1">
      <c r="A42" s="8">
        <v>40</v>
      </c>
      <c r="B42" s="9" t="s">
        <v>299</v>
      </c>
      <c r="C42" s="8" t="s">
        <v>25</v>
      </c>
      <c r="D42" s="8" t="s">
        <v>300</v>
      </c>
      <c r="E42" s="8" t="s">
        <v>269</v>
      </c>
      <c r="F42" s="10">
        <v>7</v>
      </c>
      <c r="G42" s="10">
        <v>11</v>
      </c>
      <c r="H42" s="10">
        <v>6</v>
      </c>
      <c r="I42" s="8">
        <f t="shared" si="7"/>
        <v>8</v>
      </c>
      <c r="J42" s="8">
        <f t="shared" si="8"/>
        <v>18</v>
      </c>
      <c r="K42" s="8">
        <f t="shared" si="9"/>
        <v>17</v>
      </c>
      <c r="L42" s="8">
        <f t="shared" si="10"/>
        <v>7</v>
      </c>
      <c r="M42" s="8">
        <f t="shared" si="11"/>
        <v>24</v>
      </c>
      <c r="N42" s="6" t="str">
        <f>IF(COUNTIF(規則與試算!$A$14:$A$46,I42)+COUNTIF(規則與試算!$A$14:$A$46,J42)+COUNTIF(規則與試算!$A$14:$A$46,K42)+COUNTIF(規則與試算!$A$14:$A$46,L42)+COUNTIF(規則與試算!$A$14:$A$46,M42)=5,"全吉","有凶")</f>
        <v>全吉</v>
      </c>
      <c r="O42" s="8" t="str">
        <f>INDEX(規則與試算!$D$14:$D$23,MOD(I42,10)+1)&amp;INDEX(規則與試算!$D$14:$D$23,MOD(J42,10)+1)&amp;INDEX(規則與試算!$D$14:$D$23,MOD(K42,10)+1)</f>
        <v>金金金</v>
      </c>
      <c r="P42" s="8" t="str">
        <f>INDEX(規則與試算!$G$14:$G$38,MATCH(MID(O42,1,1)&amp;MID(O42,2,1),規則與試算!$F$14:$F$38,0))</f>
        <v>比和</v>
      </c>
      <c r="Q42" s="8" t="str">
        <f>INDEX(規則與試算!$G$14:$G$38,MATCH(MID(O42,2,1)&amp;MID(O42,3,1),規則與試算!$F$14:$F$38,0))</f>
        <v>比和</v>
      </c>
      <c r="R42" s="6" t="str">
        <f t="shared" si="12"/>
        <v>大吉</v>
      </c>
      <c r="S42" s="8" t="s">
        <v>28</v>
      </c>
      <c r="T42" s="8" t="s">
        <v>28</v>
      </c>
      <c r="U42" s="8" t="s">
        <v>39</v>
      </c>
      <c r="V42" s="8" t="str">
        <f t="shared" si="13"/>
        <v>木土</v>
      </c>
      <c r="W42" s="11" t="s">
        <v>301</v>
      </c>
    </row>
    <row r="43" spans="1:23" ht="19.95" customHeight="1">
      <c r="A43" s="3">
        <v>41</v>
      </c>
      <c r="B43" s="4" t="s">
        <v>302</v>
      </c>
      <c r="C43" s="3" t="s">
        <v>25</v>
      </c>
      <c r="D43" s="3" t="s">
        <v>154</v>
      </c>
      <c r="E43" s="3" t="s">
        <v>303</v>
      </c>
      <c r="F43" s="5">
        <v>7</v>
      </c>
      <c r="G43" s="5">
        <v>11</v>
      </c>
      <c r="H43" s="5">
        <v>6</v>
      </c>
      <c r="I43" s="3">
        <f t="shared" si="7"/>
        <v>8</v>
      </c>
      <c r="J43" s="3">
        <f t="shared" si="8"/>
        <v>18</v>
      </c>
      <c r="K43" s="3">
        <f t="shared" si="9"/>
        <v>17</v>
      </c>
      <c r="L43" s="3">
        <f t="shared" si="10"/>
        <v>7</v>
      </c>
      <c r="M43" s="3">
        <f t="shared" si="11"/>
        <v>24</v>
      </c>
      <c r="N43" s="6" t="str">
        <f>IF(COUNTIF(規則與試算!$A$14:$A$46,I43)+COUNTIF(規則與試算!$A$14:$A$46,J43)+COUNTIF(規則與試算!$A$14:$A$46,K43)+COUNTIF(規則與試算!$A$14:$A$46,L43)+COUNTIF(規則與試算!$A$14:$A$46,M43)=5,"全吉","有凶")</f>
        <v>全吉</v>
      </c>
      <c r="O43" s="3" t="str">
        <f>INDEX(規則與試算!$D$14:$D$23,MOD(I43,10)+1)&amp;INDEX(規則與試算!$D$14:$D$23,MOD(J43,10)+1)&amp;INDEX(規則與試算!$D$14:$D$23,MOD(K43,10)+1)</f>
        <v>金金金</v>
      </c>
      <c r="P43" s="3" t="str">
        <f>INDEX(規則與試算!$G$14:$G$38,MATCH(MID(O43,1,1)&amp;MID(O43,2,1),規則與試算!$F$14:$F$38,0))</f>
        <v>比和</v>
      </c>
      <c r="Q43" s="3" t="str">
        <f>INDEX(規則與試算!$G$14:$G$38,MATCH(MID(O43,2,1)&amp;MID(O43,3,1),規則與試算!$F$14:$F$38,0))</f>
        <v>比和</v>
      </c>
      <c r="R43" s="6" t="str">
        <f t="shared" si="12"/>
        <v>大吉</v>
      </c>
      <c r="S43" s="3" t="s">
        <v>28</v>
      </c>
      <c r="T43" s="3" t="s">
        <v>28</v>
      </c>
      <c r="U43" s="3" t="s">
        <v>39</v>
      </c>
      <c r="V43" s="3" t="str">
        <f t="shared" si="13"/>
        <v>木土</v>
      </c>
      <c r="W43" s="7" t="s">
        <v>304</v>
      </c>
    </row>
    <row r="44" spans="1:23" ht="19.95" customHeight="1">
      <c r="A44" s="8">
        <v>42</v>
      </c>
      <c r="B44" s="9" t="s">
        <v>305</v>
      </c>
      <c r="C44" s="8" t="s">
        <v>25</v>
      </c>
      <c r="D44" s="8" t="s">
        <v>154</v>
      </c>
      <c r="E44" s="8" t="s">
        <v>221</v>
      </c>
      <c r="F44" s="10">
        <v>7</v>
      </c>
      <c r="G44" s="10">
        <v>11</v>
      </c>
      <c r="H44" s="10">
        <v>7</v>
      </c>
      <c r="I44" s="8">
        <f t="shared" si="7"/>
        <v>8</v>
      </c>
      <c r="J44" s="8">
        <f t="shared" si="8"/>
        <v>18</v>
      </c>
      <c r="K44" s="8">
        <f t="shared" si="9"/>
        <v>18</v>
      </c>
      <c r="L44" s="8">
        <f t="shared" si="10"/>
        <v>8</v>
      </c>
      <c r="M44" s="8">
        <f t="shared" si="11"/>
        <v>25</v>
      </c>
      <c r="N44" s="6" t="str">
        <f>IF(COUNTIF(規則與試算!$A$14:$A$46,I44)+COUNTIF(規則與試算!$A$14:$A$46,J44)+COUNTIF(規則與試算!$A$14:$A$46,K44)+COUNTIF(規則與試算!$A$14:$A$46,L44)+COUNTIF(規則與試算!$A$14:$A$46,M44)=5,"全吉","有凶")</f>
        <v>全吉</v>
      </c>
      <c r="O44" s="8" t="str">
        <f>INDEX(規則與試算!$D$14:$D$23,MOD(I44,10)+1)&amp;INDEX(規則與試算!$D$14:$D$23,MOD(J44,10)+1)&amp;INDEX(規則與試算!$D$14:$D$23,MOD(K44,10)+1)</f>
        <v>金金金</v>
      </c>
      <c r="P44" s="8" t="str">
        <f>INDEX(規則與試算!$G$14:$G$38,MATCH(MID(O44,1,1)&amp;MID(O44,2,1),規則與試算!$F$14:$F$38,0))</f>
        <v>比和</v>
      </c>
      <c r="Q44" s="8" t="str">
        <f>INDEX(規則與試算!$G$14:$G$38,MATCH(MID(O44,2,1)&amp;MID(O44,3,1),規則與試算!$F$14:$F$38,0))</f>
        <v>比和</v>
      </c>
      <c r="R44" s="6" t="str">
        <f t="shared" si="12"/>
        <v>大吉</v>
      </c>
      <c r="S44" s="8" t="s">
        <v>28</v>
      </c>
      <c r="T44" s="8" t="s">
        <v>28</v>
      </c>
      <c r="U44" s="8" t="s">
        <v>51</v>
      </c>
      <c r="V44" s="8" t="str">
        <f t="shared" si="13"/>
        <v>木水</v>
      </c>
      <c r="W44" s="11" t="s">
        <v>306</v>
      </c>
    </row>
    <row r="45" spans="1:23" ht="19.95" customHeight="1">
      <c r="A45" s="3">
        <v>43</v>
      </c>
      <c r="B45" s="4" t="s">
        <v>307</v>
      </c>
      <c r="C45" s="3" t="s">
        <v>25</v>
      </c>
      <c r="D45" s="3" t="s">
        <v>308</v>
      </c>
      <c r="E45" s="3" t="s">
        <v>221</v>
      </c>
      <c r="F45" s="5">
        <v>7</v>
      </c>
      <c r="G45" s="5">
        <v>11</v>
      </c>
      <c r="H45" s="5">
        <v>7</v>
      </c>
      <c r="I45" s="3">
        <f t="shared" si="7"/>
        <v>8</v>
      </c>
      <c r="J45" s="3">
        <f t="shared" si="8"/>
        <v>18</v>
      </c>
      <c r="K45" s="3">
        <f t="shared" si="9"/>
        <v>18</v>
      </c>
      <c r="L45" s="3">
        <f t="shared" si="10"/>
        <v>8</v>
      </c>
      <c r="M45" s="3">
        <f t="shared" si="11"/>
        <v>25</v>
      </c>
      <c r="N45" s="6" t="str">
        <f>IF(COUNTIF(規則與試算!$A$14:$A$46,I45)+COUNTIF(規則與試算!$A$14:$A$46,J45)+COUNTIF(規則與試算!$A$14:$A$46,K45)+COUNTIF(規則與試算!$A$14:$A$46,L45)+COUNTIF(規則與試算!$A$14:$A$46,M45)=5,"全吉","有凶")</f>
        <v>全吉</v>
      </c>
      <c r="O45" s="3" t="str">
        <f>INDEX(規則與試算!$D$14:$D$23,MOD(I45,10)+1)&amp;INDEX(規則與試算!$D$14:$D$23,MOD(J45,10)+1)&amp;INDEX(規則與試算!$D$14:$D$23,MOD(K45,10)+1)</f>
        <v>金金金</v>
      </c>
      <c r="P45" s="3" t="str">
        <f>INDEX(規則與試算!$G$14:$G$38,MATCH(MID(O45,1,1)&amp;MID(O45,2,1),規則與試算!$F$14:$F$38,0))</f>
        <v>比和</v>
      </c>
      <c r="Q45" s="3" t="str">
        <f>INDEX(規則與試算!$G$14:$G$38,MATCH(MID(O45,2,1)&amp;MID(O45,3,1),規則與試算!$F$14:$F$38,0))</f>
        <v>比和</v>
      </c>
      <c r="R45" s="6" t="str">
        <f t="shared" si="12"/>
        <v>大吉</v>
      </c>
      <c r="S45" s="3" t="s">
        <v>28</v>
      </c>
      <c r="T45" s="3" t="s">
        <v>51</v>
      </c>
      <c r="U45" s="3" t="s">
        <v>51</v>
      </c>
      <c r="V45" s="3" t="str">
        <f t="shared" si="13"/>
        <v>水水</v>
      </c>
      <c r="W45" s="7" t="s">
        <v>309</v>
      </c>
    </row>
    <row r="46" spans="1:23" ht="19.95" customHeight="1">
      <c r="A46" s="8">
        <v>44</v>
      </c>
      <c r="B46" s="9" t="s">
        <v>310</v>
      </c>
      <c r="C46" s="8" t="s">
        <v>25</v>
      </c>
      <c r="D46" s="8" t="s">
        <v>300</v>
      </c>
      <c r="E46" s="8" t="s">
        <v>221</v>
      </c>
      <c r="F46" s="10">
        <v>7</v>
      </c>
      <c r="G46" s="10">
        <v>11</v>
      </c>
      <c r="H46" s="10">
        <v>7</v>
      </c>
      <c r="I46" s="8">
        <f t="shared" si="7"/>
        <v>8</v>
      </c>
      <c r="J46" s="8">
        <f t="shared" si="8"/>
        <v>18</v>
      </c>
      <c r="K46" s="8">
        <f t="shared" si="9"/>
        <v>18</v>
      </c>
      <c r="L46" s="8">
        <f t="shared" si="10"/>
        <v>8</v>
      </c>
      <c r="M46" s="8">
        <f t="shared" si="11"/>
        <v>25</v>
      </c>
      <c r="N46" s="6" t="str">
        <f>IF(COUNTIF(規則與試算!$A$14:$A$46,I46)+COUNTIF(規則與試算!$A$14:$A$46,J46)+COUNTIF(規則與試算!$A$14:$A$46,K46)+COUNTIF(規則與試算!$A$14:$A$46,L46)+COUNTIF(規則與試算!$A$14:$A$46,M46)=5,"全吉","有凶")</f>
        <v>全吉</v>
      </c>
      <c r="O46" s="8" t="str">
        <f>INDEX(規則與試算!$D$14:$D$23,MOD(I46,10)+1)&amp;INDEX(規則與試算!$D$14:$D$23,MOD(J46,10)+1)&amp;INDEX(規則與試算!$D$14:$D$23,MOD(K46,10)+1)</f>
        <v>金金金</v>
      </c>
      <c r="P46" s="8" t="str">
        <f>INDEX(規則與試算!$G$14:$G$38,MATCH(MID(O46,1,1)&amp;MID(O46,2,1),規則與試算!$F$14:$F$38,0))</f>
        <v>比和</v>
      </c>
      <c r="Q46" s="8" t="str">
        <f>INDEX(規則與試算!$G$14:$G$38,MATCH(MID(O46,2,1)&amp;MID(O46,3,1),規則與試算!$F$14:$F$38,0))</f>
        <v>比和</v>
      </c>
      <c r="R46" s="6" t="str">
        <f t="shared" si="12"/>
        <v>大吉</v>
      </c>
      <c r="S46" s="8" t="s">
        <v>28</v>
      </c>
      <c r="T46" s="8" t="s">
        <v>28</v>
      </c>
      <c r="U46" s="8" t="s">
        <v>51</v>
      </c>
      <c r="V46" s="8" t="str">
        <f t="shared" si="13"/>
        <v>木水</v>
      </c>
      <c r="W46" s="11" t="s">
        <v>311</v>
      </c>
    </row>
    <row r="47" spans="1:23" ht="19.95" customHeight="1">
      <c r="A47" s="3">
        <v>45</v>
      </c>
      <c r="B47" s="4" t="s">
        <v>312</v>
      </c>
      <c r="C47" s="3" t="s">
        <v>25</v>
      </c>
      <c r="D47" s="3" t="s">
        <v>291</v>
      </c>
      <c r="E47" s="3" t="s">
        <v>313</v>
      </c>
      <c r="F47" s="5">
        <v>7</v>
      </c>
      <c r="G47" s="5">
        <v>11</v>
      </c>
      <c r="H47" s="5">
        <v>7</v>
      </c>
      <c r="I47" s="3">
        <f t="shared" si="7"/>
        <v>8</v>
      </c>
      <c r="J47" s="3">
        <f t="shared" si="8"/>
        <v>18</v>
      </c>
      <c r="K47" s="3">
        <f t="shared" si="9"/>
        <v>18</v>
      </c>
      <c r="L47" s="3">
        <f t="shared" si="10"/>
        <v>8</v>
      </c>
      <c r="M47" s="3">
        <f t="shared" si="11"/>
        <v>25</v>
      </c>
      <c r="N47" s="6" t="str">
        <f>IF(COUNTIF(規則與試算!$A$14:$A$46,I47)+COUNTIF(規則與試算!$A$14:$A$46,J47)+COUNTIF(規則與試算!$A$14:$A$46,K47)+COUNTIF(規則與試算!$A$14:$A$46,L47)+COUNTIF(規則與試算!$A$14:$A$46,M47)=5,"全吉","有凶")</f>
        <v>全吉</v>
      </c>
      <c r="O47" s="3" t="str">
        <f>INDEX(規則與試算!$D$14:$D$23,MOD(I47,10)+1)&amp;INDEX(規則與試算!$D$14:$D$23,MOD(J47,10)+1)&amp;INDEX(規則與試算!$D$14:$D$23,MOD(K47,10)+1)</f>
        <v>金金金</v>
      </c>
      <c r="P47" s="3" t="str">
        <f>INDEX(規則與試算!$G$14:$G$38,MATCH(MID(O47,1,1)&amp;MID(O47,2,1),規則與試算!$F$14:$F$38,0))</f>
        <v>比和</v>
      </c>
      <c r="Q47" s="3" t="str">
        <f>INDEX(規則與試算!$G$14:$G$38,MATCH(MID(O47,2,1)&amp;MID(O47,3,1),規則與試算!$F$14:$F$38,0))</f>
        <v>比和</v>
      </c>
      <c r="R47" s="6" t="str">
        <f t="shared" si="12"/>
        <v>大吉</v>
      </c>
      <c r="S47" s="3" t="s">
        <v>28</v>
      </c>
      <c r="T47" s="3" t="s">
        <v>39</v>
      </c>
      <c r="U47" s="3" t="s">
        <v>39</v>
      </c>
      <c r="V47" s="3" t="str">
        <f t="shared" si="13"/>
        <v>土土</v>
      </c>
      <c r="W47" s="7" t="s">
        <v>314</v>
      </c>
    </row>
    <row r="48" spans="1:23" ht="19.95" customHeight="1">
      <c r="A48" s="8">
        <v>46</v>
      </c>
      <c r="B48" s="9" t="s">
        <v>315</v>
      </c>
      <c r="C48" s="8" t="s">
        <v>25</v>
      </c>
      <c r="D48" s="8" t="s">
        <v>154</v>
      </c>
      <c r="E48" s="8" t="s">
        <v>316</v>
      </c>
      <c r="F48" s="10">
        <v>7</v>
      </c>
      <c r="G48" s="10">
        <v>11</v>
      </c>
      <c r="H48" s="10">
        <v>14</v>
      </c>
      <c r="I48" s="8">
        <f t="shared" si="7"/>
        <v>8</v>
      </c>
      <c r="J48" s="8">
        <f t="shared" si="8"/>
        <v>18</v>
      </c>
      <c r="K48" s="8">
        <f t="shared" si="9"/>
        <v>25</v>
      </c>
      <c r="L48" s="8">
        <f t="shared" si="10"/>
        <v>15</v>
      </c>
      <c r="M48" s="8">
        <f t="shared" si="11"/>
        <v>32</v>
      </c>
      <c r="N48" s="6" t="str">
        <f>IF(COUNTIF(規則與試算!$A$14:$A$46,I48)+COUNTIF(規則與試算!$A$14:$A$46,J48)+COUNTIF(規則與試算!$A$14:$A$46,K48)+COUNTIF(規則與試算!$A$14:$A$46,L48)+COUNTIF(規則與試算!$A$14:$A$46,M48)=5,"全吉","有凶")</f>
        <v>全吉</v>
      </c>
      <c r="O48" s="8" t="str">
        <f>INDEX(規則與試算!$D$14:$D$23,MOD(I48,10)+1)&amp;INDEX(規則與試算!$D$14:$D$23,MOD(J48,10)+1)&amp;INDEX(規則與試算!$D$14:$D$23,MOD(K48,10)+1)</f>
        <v>金金土</v>
      </c>
      <c r="P48" s="8" t="str">
        <f>INDEX(規則與試算!$G$14:$G$38,MATCH(MID(O48,1,1)&amp;MID(O48,2,1),規則與試算!$F$14:$F$38,0))</f>
        <v>比和</v>
      </c>
      <c r="Q48" s="8" t="str">
        <f>INDEX(規則與試算!$G$14:$G$38,MATCH(MID(O48,2,1)&amp;MID(O48,3,1),規則與試算!$F$14:$F$38,0))</f>
        <v>生</v>
      </c>
      <c r="R48" s="6" t="str">
        <f t="shared" si="12"/>
        <v>大吉</v>
      </c>
      <c r="S48" s="8" t="s">
        <v>28</v>
      </c>
      <c r="T48" s="8" t="s">
        <v>28</v>
      </c>
      <c r="U48" s="8" t="s">
        <v>39</v>
      </c>
      <c r="V48" s="8" t="str">
        <f t="shared" si="13"/>
        <v>木土</v>
      </c>
      <c r="W48" s="11" t="s">
        <v>317</v>
      </c>
    </row>
    <row r="49" spans="1:23" ht="19.95" customHeight="1">
      <c r="A49" s="3">
        <v>47</v>
      </c>
      <c r="B49" s="4" t="s">
        <v>318</v>
      </c>
      <c r="C49" s="3" t="s">
        <v>25</v>
      </c>
      <c r="D49" s="3" t="s">
        <v>300</v>
      </c>
      <c r="E49" s="3" t="s">
        <v>319</v>
      </c>
      <c r="F49" s="5">
        <v>7</v>
      </c>
      <c r="G49" s="5">
        <v>11</v>
      </c>
      <c r="H49" s="5">
        <v>14</v>
      </c>
      <c r="I49" s="3">
        <f t="shared" si="7"/>
        <v>8</v>
      </c>
      <c r="J49" s="3">
        <f t="shared" si="8"/>
        <v>18</v>
      </c>
      <c r="K49" s="3">
        <f t="shared" si="9"/>
        <v>25</v>
      </c>
      <c r="L49" s="3">
        <f t="shared" si="10"/>
        <v>15</v>
      </c>
      <c r="M49" s="3">
        <f t="shared" si="11"/>
        <v>32</v>
      </c>
      <c r="N49" s="6" t="str">
        <f>IF(COUNTIF(規則與試算!$A$14:$A$46,I49)+COUNTIF(規則與試算!$A$14:$A$46,J49)+COUNTIF(規則與試算!$A$14:$A$46,K49)+COUNTIF(規則與試算!$A$14:$A$46,L49)+COUNTIF(規則與試算!$A$14:$A$46,M49)=5,"全吉","有凶")</f>
        <v>全吉</v>
      </c>
      <c r="O49" s="3" t="str">
        <f>INDEX(規則與試算!$D$14:$D$23,MOD(I49,10)+1)&amp;INDEX(規則與試算!$D$14:$D$23,MOD(J49,10)+1)&amp;INDEX(規則與試算!$D$14:$D$23,MOD(K49,10)+1)</f>
        <v>金金土</v>
      </c>
      <c r="P49" s="3" t="str">
        <f>INDEX(規則與試算!$G$14:$G$38,MATCH(MID(O49,1,1)&amp;MID(O49,2,1),規則與試算!$F$14:$F$38,0))</f>
        <v>比和</v>
      </c>
      <c r="Q49" s="3" t="str">
        <f>INDEX(規則與試算!$G$14:$G$38,MATCH(MID(O49,2,1)&amp;MID(O49,3,1),規則與試算!$F$14:$F$38,0))</f>
        <v>生</v>
      </c>
      <c r="R49" s="6" t="str">
        <f t="shared" si="12"/>
        <v>大吉</v>
      </c>
      <c r="S49" s="3" t="s">
        <v>28</v>
      </c>
      <c r="T49" s="3" t="s">
        <v>28</v>
      </c>
      <c r="U49" s="3" t="s">
        <v>39</v>
      </c>
      <c r="V49" s="3" t="str">
        <f t="shared" si="13"/>
        <v>木土</v>
      </c>
      <c r="W49" s="7" t="s">
        <v>320</v>
      </c>
    </row>
    <row r="50" spans="1:23" ht="19.95" customHeight="1">
      <c r="A50" s="8">
        <v>48</v>
      </c>
      <c r="B50" s="9" t="s">
        <v>321</v>
      </c>
      <c r="C50" s="8" t="s">
        <v>25</v>
      </c>
      <c r="D50" s="8" t="s">
        <v>291</v>
      </c>
      <c r="E50" s="8" t="s">
        <v>316</v>
      </c>
      <c r="F50" s="10">
        <v>7</v>
      </c>
      <c r="G50" s="10">
        <v>11</v>
      </c>
      <c r="H50" s="10">
        <v>14</v>
      </c>
      <c r="I50" s="8">
        <f t="shared" si="7"/>
        <v>8</v>
      </c>
      <c r="J50" s="8">
        <f t="shared" si="8"/>
        <v>18</v>
      </c>
      <c r="K50" s="8">
        <f t="shared" si="9"/>
        <v>25</v>
      </c>
      <c r="L50" s="8">
        <f t="shared" si="10"/>
        <v>15</v>
      </c>
      <c r="M50" s="8">
        <f t="shared" si="11"/>
        <v>32</v>
      </c>
      <c r="N50" s="6" t="str">
        <f>IF(COUNTIF(規則與試算!$A$14:$A$46,I50)+COUNTIF(規則與試算!$A$14:$A$46,J50)+COUNTIF(規則與試算!$A$14:$A$46,K50)+COUNTIF(規則與試算!$A$14:$A$46,L50)+COUNTIF(規則與試算!$A$14:$A$46,M50)=5,"全吉","有凶")</f>
        <v>全吉</v>
      </c>
      <c r="O50" s="8" t="str">
        <f>INDEX(規則與試算!$D$14:$D$23,MOD(I50,10)+1)&amp;INDEX(規則與試算!$D$14:$D$23,MOD(J50,10)+1)&amp;INDEX(規則與試算!$D$14:$D$23,MOD(K50,10)+1)</f>
        <v>金金土</v>
      </c>
      <c r="P50" s="8" t="str">
        <f>INDEX(規則與試算!$G$14:$G$38,MATCH(MID(O50,1,1)&amp;MID(O50,2,1),規則與試算!$F$14:$F$38,0))</f>
        <v>比和</v>
      </c>
      <c r="Q50" s="8" t="str">
        <f>INDEX(規則與試算!$G$14:$G$38,MATCH(MID(O50,2,1)&amp;MID(O50,3,1),規則與試算!$F$14:$F$38,0))</f>
        <v>生</v>
      </c>
      <c r="R50" s="6" t="str">
        <f t="shared" si="12"/>
        <v>大吉</v>
      </c>
      <c r="S50" s="8" t="s">
        <v>28</v>
      </c>
      <c r="T50" s="8" t="s">
        <v>39</v>
      </c>
      <c r="U50" s="8" t="s">
        <v>39</v>
      </c>
      <c r="V50" s="8" t="str">
        <f t="shared" si="13"/>
        <v>土土</v>
      </c>
      <c r="W50" s="11" t="s">
        <v>322</v>
      </c>
    </row>
    <row r="51" spans="1:23" ht="19.95" customHeight="1">
      <c r="A51" s="3">
        <v>49</v>
      </c>
      <c r="B51" s="4" t="s">
        <v>323</v>
      </c>
      <c r="C51" s="3" t="s">
        <v>25</v>
      </c>
      <c r="D51" s="3" t="s">
        <v>324</v>
      </c>
      <c r="E51" s="3" t="s">
        <v>325</v>
      </c>
      <c r="F51" s="5">
        <v>7</v>
      </c>
      <c r="G51" s="5">
        <v>11</v>
      </c>
      <c r="H51" s="5">
        <v>14</v>
      </c>
      <c r="I51" s="3">
        <f t="shared" si="7"/>
        <v>8</v>
      </c>
      <c r="J51" s="3">
        <f t="shared" si="8"/>
        <v>18</v>
      </c>
      <c r="K51" s="3">
        <f t="shared" si="9"/>
        <v>25</v>
      </c>
      <c r="L51" s="3">
        <f t="shared" si="10"/>
        <v>15</v>
      </c>
      <c r="M51" s="3">
        <f t="shared" si="11"/>
        <v>32</v>
      </c>
      <c r="N51" s="6" t="str">
        <f>IF(COUNTIF(規則與試算!$A$14:$A$46,I51)+COUNTIF(規則與試算!$A$14:$A$46,J51)+COUNTIF(規則與試算!$A$14:$A$46,K51)+COUNTIF(規則與試算!$A$14:$A$46,L51)+COUNTIF(規則與試算!$A$14:$A$46,M51)=5,"全吉","有凶")</f>
        <v>全吉</v>
      </c>
      <c r="O51" s="3" t="str">
        <f>INDEX(規則與試算!$D$14:$D$23,MOD(I51,10)+1)&amp;INDEX(規則與試算!$D$14:$D$23,MOD(J51,10)+1)&amp;INDEX(規則與試算!$D$14:$D$23,MOD(K51,10)+1)</f>
        <v>金金土</v>
      </c>
      <c r="P51" s="3" t="str">
        <f>INDEX(規則與試算!$G$14:$G$38,MATCH(MID(O51,1,1)&amp;MID(O51,2,1),規則與試算!$F$14:$F$38,0))</f>
        <v>比和</v>
      </c>
      <c r="Q51" s="3" t="str">
        <f>INDEX(規則與試算!$G$14:$G$38,MATCH(MID(O51,2,1)&amp;MID(O51,3,1),規則與試算!$F$14:$F$38,0))</f>
        <v>生</v>
      </c>
      <c r="R51" s="6" t="str">
        <f t="shared" si="12"/>
        <v>大吉</v>
      </c>
      <c r="S51" s="3" t="s">
        <v>28</v>
      </c>
      <c r="T51" s="3" t="s">
        <v>34</v>
      </c>
      <c r="U51" s="3" t="s">
        <v>39</v>
      </c>
      <c r="V51" s="3" t="str">
        <f t="shared" si="13"/>
        <v>金土</v>
      </c>
      <c r="W51" s="7" t="s">
        <v>326</v>
      </c>
    </row>
    <row r="52" spans="1:23" ht="19.95" customHeight="1">
      <c r="A52" s="8">
        <v>50</v>
      </c>
      <c r="B52" s="9" t="s">
        <v>327</v>
      </c>
      <c r="C52" s="8" t="s">
        <v>25</v>
      </c>
      <c r="D52" s="8" t="s">
        <v>154</v>
      </c>
      <c r="E52" s="8" t="s">
        <v>328</v>
      </c>
      <c r="F52" s="10">
        <v>7</v>
      </c>
      <c r="G52" s="10">
        <v>11</v>
      </c>
      <c r="H52" s="10">
        <v>14</v>
      </c>
      <c r="I52" s="8">
        <f t="shared" si="7"/>
        <v>8</v>
      </c>
      <c r="J52" s="8">
        <f t="shared" si="8"/>
        <v>18</v>
      </c>
      <c r="K52" s="8">
        <f t="shared" si="9"/>
        <v>25</v>
      </c>
      <c r="L52" s="8">
        <f t="shared" si="10"/>
        <v>15</v>
      </c>
      <c r="M52" s="8">
        <f t="shared" si="11"/>
        <v>32</v>
      </c>
      <c r="N52" s="6" t="str">
        <f>IF(COUNTIF(規則與試算!$A$14:$A$46,I52)+COUNTIF(規則與試算!$A$14:$A$46,J52)+COUNTIF(規則與試算!$A$14:$A$46,K52)+COUNTIF(規則與試算!$A$14:$A$46,L52)+COUNTIF(規則與試算!$A$14:$A$46,M52)=5,"全吉","有凶")</f>
        <v>全吉</v>
      </c>
      <c r="O52" s="8" t="str">
        <f>INDEX(規則與試算!$D$14:$D$23,MOD(I52,10)+1)&amp;INDEX(規則與試算!$D$14:$D$23,MOD(J52,10)+1)&amp;INDEX(規則與試算!$D$14:$D$23,MOD(K52,10)+1)</f>
        <v>金金土</v>
      </c>
      <c r="P52" s="8" t="str">
        <f>INDEX(規則與試算!$G$14:$G$38,MATCH(MID(O52,1,1)&amp;MID(O52,2,1),規則與試算!$F$14:$F$38,0))</f>
        <v>比和</v>
      </c>
      <c r="Q52" s="8" t="str">
        <f>INDEX(規則與試算!$G$14:$G$38,MATCH(MID(O52,2,1)&amp;MID(O52,3,1),規則與試算!$F$14:$F$38,0))</f>
        <v>生</v>
      </c>
      <c r="R52" s="6" t="str">
        <f t="shared" si="12"/>
        <v>大吉</v>
      </c>
      <c r="S52" s="8" t="s">
        <v>28</v>
      </c>
      <c r="T52" s="8" t="s">
        <v>28</v>
      </c>
      <c r="U52" s="8" t="s">
        <v>34</v>
      </c>
      <c r="V52" s="8" t="str">
        <f t="shared" si="13"/>
        <v>木金</v>
      </c>
      <c r="W52" s="11" t="s">
        <v>329</v>
      </c>
    </row>
  </sheetData>
  <autoFilter ref="A2:W52" xr:uid="{00000000-0009-0000-0000-000001000000}"/>
  <mergeCells count="1">
    <mergeCell ref="A1:W1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6"/>
  <sheetViews>
    <sheetView showGridLines="0" workbookViewId="0"/>
  </sheetViews>
  <sheetFormatPr defaultRowHeight="15"/>
  <cols>
    <col min="1" max="1" width="8" customWidth="1"/>
    <col min="2" max="2" width="3" customWidth="1"/>
    <col min="3" max="4" width="8" customWidth="1"/>
    <col min="5" max="5" width="3" customWidth="1"/>
    <col min="6" max="7" width="8" customWidth="1"/>
    <col min="8" max="8" width="3" customWidth="1"/>
    <col min="9" max="9" width="22" customWidth="1"/>
    <col min="10" max="10" width="14" customWidth="1"/>
  </cols>
  <sheetData>
    <row r="1" spans="1:10" ht="19.8">
      <c r="A1" s="1" t="s">
        <v>330</v>
      </c>
    </row>
    <row r="3" spans="1:10">
      <c r="A3" s="13" t="s">
        <v>331</v>
      </c>
    </row>
    <row r="4" spans="1:10">
      <c r="A4" s="13" t="s">
        <v>332</v>
      </c>
    </row>
    <row r="5" spans="1:10">
      <c r="A5" s="13" t="s">
        <v>333</v>
      </c>
    </row>
    <row r="6" spans="1:10">
      <c r="A6" s="13" t="s">
        <v>334</v>
      </c>
    </row>
    <row r="7" spans="1:10">
      <c r="A7" s="13" t="s">
        <v>335</v>
      </c>
    </row>
    <row r="8" spans="1:10">
      <c r="A8" s="13" t="s">
        <v>336</v>
      </c>
    </row>
    <row r="9" spans="1:10">
      <c r="A9" s="13" t="s">
        <v>337</v>
      </c>
    </row>
    <row r="10" spans="1:10">
      <c r="A10" s="13" t="s">
        <v>338</v>
      </c>
    </row>
    <row r="12" spans="1:10">
      <c r="A12" s="14" t="s">
        <v>339</v>
      </c>
      <c r="C12" s="14" t="s">
        <v>340</v>
      </c>
      <c r="F12" s="14" t="s">
        <v>341</v>
      </c>
      <c r="I12" s="14" t="s">
        <v>342</v>
      </c>
    </row>
    <row r="13" spans="1:10">
      <c r="A13" s="15" t="s">
        <v>343</v>
      </c>
      <c r="C13" s="15" t="s">
        <v>344</v>
      </c>
      <c r="D13" s="15" t="s">
        <v>345</v>
      </c>
      <c r="F13" s="15" t="s">
        <v>346</v>
      </c>
      <c r="G13" s="15" t="s">
        <v>347</v>
      </c>
      <c r="I13" s="15" t="s">
        <v>348</v>
      </c>
      <c r="J13" s="15" t="s">
        <v>349</v>
      </c>
    </row>
    <row r="14" spans="1:10">
      <c r="A14" s="3">
        <v>1</v>
      </c>
      <c r="C14" s="3">
        <v>0</v>
      </c>
      <c r="D14" s="3" t="s">
        <v>51</v>
      </c>
      <c r="F14" s="3" t="s">
        <v>350</v>
      </c>
      <c r="G14" s="3" t="s">
        <v>351</v>
      </c>
      <c r="I14" s="16" t="s">
        <v>352</v>
      </c>
      <c r="J14" s="17">
        <v>7</v>
      </c>
    </row>
    <row r="15" spans="1:10">
      <c r="A15" s="3">
        <v>3</v>
      </c>
      <c r="C15" s="3">
        <v>1</v>
      </c>
      <c r="D15" s="3" t="s">
        <v>28</v>
      </c>
      <c r="F15" s="3" t="s">
        <v>353</v>
      </c>
      <c r="G15" s="3" t="s">
        <v>354</v>
      </c>
      <c r="I15" s="16" t="s">
        <v>355</v>
      </c>
      <c r="J15" s="17">
        <v>9</v>
      </c>
    </row>
    <row r="16" spans="1:10">
      <c r="A16" s="3">
        <v>5</v>
      </c>
      <c r="C16" s="3">
        <v>2</v>
      </c>
      <c r="D16" s="3" t="s">
        <v>28</v>
      </c>
      <c r="F16" s="3" t="s">
        <v>356</v>
      </c>
      <c r="G16" s="3" t="s">
        <v>357</v>
      </c>
      <c r="I16" s="16" t="s">
        <v>358</v>
      </c>
      <c r="J16" s="17">
        <v>16</v>
      </c>
    </row>
    <row r="17" spans="1:10">
      <c r="A17" s="3">
        <v>6</v>
      </c>
      <c r="C17" s="3">
        <v>3</v>
      </c>
      <c r="D17" s="3" t="s">
        <v>29</v>
      </c>
      <c r="F17" s="3" t="s">
        <v>359</v>
      </c>
      <c r="G17" s="3" t="s">
        <v>357</v>
      </c>
      <c r="I17" s="16" t="s">
        <v>9</v>
      </c>
      <c r="J17" s="3">
        <f>J14+1</f>
        <v>8</v>
      </c>
    </row>
    <row r="18" spans="1:10">
      <c r="A18" s="3">
        <v>7</v>
      </c>
      <c r="C18" s="3">
        <v>4</v>
      </c>
      <c r="D18" s="3" t="s">
        <v>29</v>
      </c>
      <c r="F18" s="3" t="s">
        <v>360</v>
      </c>
      <c r="G18" s="3" t="s">
        <v>354</v>
      </c>
      <c r="I18" s="16" t="s">
        <v>10</v>
      </c>
      <c r="J18" s="3">
        <f>J14+J15</f>
        <v>16</v>
      </c>
    </row>
    <row r="19" spans="1:10">
      <c r="A19" s="3">
        <v>8</v>
      </c>
      <c r="C19" s="3">
        <v>5</v>
      </c>
      <c r="D19" s="3" t="s">
        <v>39</v>
      </c>
      <c r="F19" s="3" t="s">
        <v>361</v>
      </c>
      <c r="G19" s="3" t="s">
        <v>354</v>
      </c>
      <c r="I19" s="16" t="s">
        <v>11</v>
      </c>
      <c r="J19" s="3">
        <f>J15+J16</f>
        <v>25</v>
      </c>
    </row>
    <row r="20" spans="1:10">
      <c r="A20" s="3">
        <v>11</v>
      </c>
      <c r="C20" s="3">
        <v>6</v>
      </c>
      <c r="D20" s="3" t="s">
        <v>39</v>
      </c>
      <c r="F20" s="3" t="s">
        <v>362</v>
      </c>
      <c r="G20" s="3" t="s">
        <v>351</v>
      </c>
      <c r="I20" s="16" t="s">
        <v>12</v>
      </c>
      <c r="J20" s="3">
        <f>J16+1</f>
        <v>17</v>
      </c>
    </row>
    <row r="21" spans="1:10">
      <c r="A21" s="3">
        <v>13</v>
      </c>
      <c r="C21" s="3">
        <v>7</v>
      </c>
      <c r="D21" s="3" t="s">
        <v>34</v>
      </c>
      <c r="F21" s="3" t="s">
        <v>363</v>
      </c>
      <c r="G21" s="3" t="s">
        <v>354</v>
      </c>
      <c r="I21" s="16" t="s">
        <v>13</v>
      </c>
      <c r="J21" s="3">
        <f>J14+J15+J16</f>
        <v>32</v>
      </c>
    </row>
    <row r="22" spans="1:10">
      <c r="A22" s="3">
        <v>15</v>
      </c>
      <c r="C22" s="3">
        <v>8</v>
      </c>
      <c r="D22" s="3" t="s">
        <v>34</v>
      </c>
      <c r="F22" s="3" t="s">
        <v>364</v>
      </c>
      <c r="G22" s="3" t="s">
        <v>357</v>
      </c>
      <c r="I22" s="16" t="s">
        <v>14</v>
      </c>
      <c r="J22" s="3" t="str">
        <f>IF(COUNTIF(規則與試算!$A$14:$A$46,J17)+COUNTIF(規則與試算!$A$14:$A$46,J18)+COUNTIF(規則與試算!$A$14:$A$46,J19)+COUNTIF(規則與試算!$A$14:$A$46,J20)+COUNTIF(規則與試算!$A$14:$A$46,J21)=5,"全吉","有凶")</f>
        <v>全吉</v>
      </c>
    </row>
    <row r="23" spans="1:10">
      <c r="A23" s="3">
        <v>16</v>
      </c>
      <c r="C23" s="3">
        <v>9</v>
      </c>
      <c r="D23" s="3" t="s">
        <v>51</v>
      </c>
      <c r="F23" s="3" t="s">
        <v>365</v>
      </c>
      <c r="G23" s="3" t="s">
        <v>357</v>
      </c>
      <c r="I23" s="16" t="s">
        <v>15</v>
      </c>
      <c r="J23" s="3" t="str">
        <f>INDEX(規則與試算!$D$14:$D$23,MOD(J17,10)+1)&amp;INDEX(規則與試算!$D$14:$D$23,MOD(J18,10)+1)&amp;INDEX(規則與試算!$D$14:$D$23,MOD(J19,10)+1)</f>
        <v>金土土</v>
      </c>
    </row>
    <row r="24" spans="1:10">
      <c r="A24" s="3">
        <v>17</v>
      </c>
      <c r="F24" s="3" t="s">
        <v>366</v>
      </c>
      <c r="G24" s="3" t="s">
        <v>357</v>
      </c>
      <c r="I24" s="16" t="s">
        <v>16</v>
      </c>
      <c r="J24" s="3" t="str">
        <f>INDEX(規則與試算!$G$14:$G$38,MATCH(MID(J23,1,1)&amp;MID(J23,2,1),規則與試算!$F$14:$F$38,0))</f>
        <v>生</v>
      </c>
    </row>
    <row r="25" spans="1:10">
      <c r="A25" s="3">
        <v>18</v>
      </c>
      <c r="F25" s="3" t="s">
        <v>367</v>
      </c>
      <c r="G25" s="3" t="s">
        <v>354</v>
      </c>
      <c r="I25" s="16" t="s">
        <v>17</v>
      </c>
      <c r="J25" s="3" t="str">
        <f>INDEX(規則與試算!$G$14:$G$38,MATCH(MID(J23,2,1)&amp;MID(J23,3,1),規則與試算!$F$14:$F$38,0))</f>
        <v>比和</v>
      </c>
    </row>
    <row r="26" spans="1:10">
      <c r="A26" s="3">
        <v>21</v>
      </c>
      <c r="F26" s="3" t="s">
        <v>368</v>
      </c>
      <c r="G26" s="3" t="s">
        <v>351</v>
      </c>
      <c r="I26" s="16" t="s">
        <v>18</v>
      </c>
      <c r="J26" s="3" t="str">
        <f>IF(AND(J24&lt;&gt;"剋",J25&lt;&gt;"剋"),"大吉",IF(OR(J24&lt;&gt;"剋",J25&lt;&gt;"剋"),"中吉","需注意"))</f>
        <v>大吉</v>
      </c>
    </row>
    <row r="27" spans="1:10">
      <c r="A27" s="3">
        <v>23</v>
      </c>
      <c r="F27" s="3" t="s">
        <v>369</v>
      </c>
      <c r="G27" s="3" t="s">
        <v>354</v>
      </c>
      <c r="I27" s="18" t="s">
        <v>370</v>
      </c>
    </row>
    <row r="28" spans="1:10">
      <c r="A28" s="3">
        <v>24</v>
      </c>
      <c r="F28" s="3" t="s">
        <v>371</v>
      </c>
      <c r="G28" s="3" t="s">
        <v>357</v>
      </c>
    </row>
    <row r="29" spans="1:10">
      <c r="A29" s="3">
        <v>25</v>
      </c>
      <c r="F29" s="3" t="s">
        <v>372</v>
      </c>
      <c r="G29" s="3" t="s">
        <v>357</v>
      </c>
      <c r="I29" s="18" t="s">
        <v>373</v>
      </c>
    </row>
    <row r="30" spans="1:10">
      <c r="A30" s="3">
        <v>31</v>
      </c>
      <c r="F30" s="3" t="s">
        <v>374</v>
      </c>
      <c r="G30" s="3" t="s">
        <v>357</v>
      </c>
    </row>
    <row r="31" spans="1:10">
      <c r="A31" s="3">
        <v>32</v>
      </c>
      <c r="F31" s="3" t="s">
        <v>375</v>
      </c>
      <c r="G31" s="3" t="s">
        <v>354</v>
      </c>
    </row>
    <row r="32" spans="1:10">
      <c r="A32" s="3">
        <v>33</v>
      </c>
      <c r="F32" s="3" t="s">
        <v>376</v>
      </c>
      <c r="G32" s="3" t="s">
        <v>351</v>
      </c>
    </row>
    <row r="33" spans="1:7">
      <c r="A33" s="3">
        <v>35</v>
      </c>
      <c r="F33" s="3" t="s">
        <v>377</v>
      </c>
      <c r="G33" s="3" t="s">
        <v>354</v>
      </c>
    </row>
    <row r="34" spans="1:7">
      <c r="A34" s="3">
        <v>37</v>
      </c>
      <c r="F34" s="3" t="s">
        <v>378</v>
      </c>
      <c r="G34" s="3" t="s">
        <v>354</v>
      </c>
    </row>
    <row r="35" spans="1:7">
      <c r="A35" s="3">
        <v>39</v>
      </c>
      <c r="F35" s="3" t="s">
        <v>379</v>
      </c>
      <c r="G35" s="3" t="s">
        <v>357</v>
      </c>
    </row>
    <row r="36" spans="1:7">
      <c r="A36" s="3">
        <v>41</v>
      </c>
      <c r="F36" s="3" t="s">
        <v>380</v>
      </c>
      <c r="G36" s="3" t="s">
        <v>357</v>
      </c>
    </row>
    <row r="37" spans="1:7">
      <c r="A37" s="3">
        <v>45</v>
      </c>
      <c r="F37" s="3" t="s">
        <v>381</v>
      </c>
      <c r="G37" s="3" t="s">
        <v>354</v>
      </c>
    </row>
    <row r="38" spans="1:7">
      <c r="A38" s="3">
        <v>47</v>
      </c>
      <c r="F38" s="3" t="s">
        <v>382</v>
      </c>
      <c r="G38" s="3" t="s">
        <v>351</v>
      </c>
    </row>
    <row r="39" spans="1:7">
      <c r="A39" s="3">
        <v>48</v>
      </c>
    </row>
    <row r="40" spans="1:7">
      <c r="A40" s="3">
        <v>52</v>
      </c>
    </row>
    <row r="41" spans="1:7">
      <c r="A41" s="3">
        <v>63</v>
      </c>
    </row>
    <row r="42" spans="1:7">
      <c r="A42" s="3">
        <v>65</v>
      </c>
    </row>
    <row r="43" spans="1:7">
      <c r="A43" s="3">
        <v>67</v>
      </c>
    </row>
    <row r="44" spans="1:7">
      <c r="A44" s="3">
        <v>68</v>
      </c>
    </row>
    <row r="45" spans="1:7">
      <c r="A45" s="3">
        <v>81</v>
      </c>
    </row>
    <row r="46" spans="1:7">
      <c r="A46" s="3">
        <v>82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男生名單</vt:lpstr>
      <vt:lpstr>女生名單</vt:lpstr>
      <vt:lpstr>規則與試算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Chung Lee</cp:lastModifiedBy>
  <dcterms:created xsi:type="dcterms:W3CDTF">2026-08-08T07:44:24Z</dcterms:created>
  <dcterms:modified xsi:type="dcterms:W3CDTF">2026-08-08T07:44:44Z</dcterms:modified>
</cp:coreProperties>
</file>